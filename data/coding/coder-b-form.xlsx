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Work\Projects\scope-disputes\data\coding\"/>
    </mc:Choice>
  </mc:AlternateContent>
  <xr:revisionPtr revIDLastSave="0" documentId="13_ncr:1_{EA8F3D72-B18D-459C-916E-878BD0880200}" xr6:coauthVersionLast="47" xr6:coauthVersionMax="47" xr10:uidLastSave="{00000000-0000-0000-0000-000000000000}"/>
  <bookViews>
    <workbookView xWindow="-110" yWindow="-110" windowWidth="25820" windowHeight="15500" xr2:uid="{00000000-000D-0000-FFFF-FFFF00000000}"/>
  </bookViews>
  <sheets>
    <sheet name="안내" sheetId="1" r:id="rId1"/>
    <sheet name="코딩" sheetId="2" r:id="rId2"/>
    <sheet name="코드북" sheetId="3" r:id="rId3"/>
  </sheets>
  <definedNames>
    <definedName name="_xlnm._FilterDatabase" localSheetId="1" hidden="1">코딩!$A$1:$AG$146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146" i="2" l="1"/>
  <c r="AF146" i="2"/>
  <c r="AE146" i="2"/>
  <c r="AD146" i="2"/>
  <c r="AC146" i="2"/>
  <c r="AB146" i="2"/>
  <c r="AG145" i="2"/>
  <c r="AF145" i="2"/>
  <c r="AE145" i="2"/>
  <c r="AD145" i="2"/>
  <c r="AC145" i="2"/>
  <c r="AB145" i="2"/>
  <c r="AG144" i="2"/>
  <c r="AF144" i="2"/>
  <c r="AE144" i="2"/>
  <c r="AD144" i="2"/>
  <c r="AC144" i="2"/>
  <c r="AB144" i="2"/>
  <c r="AG143" i="2"/>
  <c r="AF143" i="2"/>
  <c r="AE143" i="2"/>
  <c r="AD143" i="2"/>
  <c r="AC143" i="2"/>
  <c r="AB143" i="2"/>
  <c r="AG142" i="2"/>
  <c r="AF142" i="2"/>
  <c r="AE142" i="2"/>
  <c r="AD142" i="2"/>
  <c r="AC142" i="2"/>
  <c r="AB142" i="2"/>
  <c r="AG141" i="2"/>
  <c r="AF141" i="2"/>
  <c r="AE141" i="2"/>
  <c r="AD141" i="2"/>
  <c r="AC141" i="2"/>
  <c r="AB141" i="2"/>
  <c r="AG140" i="2"/>
  <c r="AF140" i="2"/>
  <c r="AE140" i="2"/>
  <c r="AD140" i="2"/>
  <c r="AC140" i="2"/>
  <c r="AB140" i="2"/>
  <c r="AG139" i="2"/>
  <c r="AF139" i="2"/>
  <c r="AE139" i="2"/>
  <c r="AD139" i="2"/>
  <c r="AC139" i="2"/>
  <c r="AB139" i="2"/>
  <c r="AG138" i="2"/>
  <c r="AF138" i="2"/>
  <c r="AE138" i="2"/>
  <c r="AD138" i="2"/>
  <c r="AC138" i="2"/>
  <c r="AB138" i="2"/>
  <c r="AG137" i="2"/>
  <c r="AF137" i="2"/>
  <c r="AE137" i="2"/>
  <c r="AD137" i="2"/>
  <c r="AC137" i="2"/>
  <c r="AB137" i="2"/>
  <c r="AG136" i="2"/>
  <c r="AF136" i="2"/>
  <c r="AE136" i="2"/>
  <c r="AD136" i="2"/>
  <c r="AC136" i="2"/>
  <c r="AB136" i="2"/>
  <c r="AG135" i="2"/>
  <c r="AF135" i="2"/>
  <c r="AE135" i="2"/>
  <c r="AD135" i="2"/>
  <c r="AC135" i="2"/>
  <c r="AB135" i="2"/>
  <c r="AG134" i="2"/>
  <c r="AF134" i="2"/>
  <c r="AE134" i="2"/>
  <c r="AD134" i="2"/>
  <c r="AC134" i="2"/>
  <c r="AB134" i="2"/>
  <c r="AG133" i="2"/>
  <c r="AF133" i="2"/>
  <c r="AE133" i="2"/>
  <c r="AD133" i="2"/>
  <c r="AC133" i="2"/>
  <c r="AB133" i="2"/>
  <c r="AG132" i="2"/>
  <c r="AF132" i="2"/>
  <c r="AE132" i="2"/>
  <c r="AD132" i="2"/>
  <c r="AC132" i="2"/>
  <c r="AB132" i="2"/>
  <c r="AG131" i="2"/>
  <c r="AF131" i="2"/>
  <c r="AE131" i="2"/>
  <c r="AD131" i="2"/>
  <c r="AC131" i="2"/>
  <c r="AB131" i="2"/>
  <c r="AG130" i="2"/>
  <c r="AF130" i="2"/>
  <c r="AE130" i="2"/>
  <c r="AD130" i="2"/>
  <c r="AC130" i="2"/>
  <c r="AB130" i="2"/>
  <c r="AG129" i="2"/>
  <c r="AF129" i="2"/>
  <c r="AE129" i="2"/>
  <c r="AD129" i="2"/>
  <c r="AC129" i="2"/>
  <c r="AB129" i="2"/>
  <c r="AG128" i="2"/>
  <c r="AF128" i="2"/>
  <c r="AE128" i="2"/>
  <c r="AD128" i="2"/>
  <c r="AC128" i="2"/>
  <c r="AB128" i="2"/>
  <c r="AG127" i="2"/>
  <c r="AF127" i="2"/>
  <c r="AE127" i="2"/>
  <c r="AD127" i="2"/>
  <c r="AC127" i="2"/>
  <c r="AB127" i="2"/>
  <c r="AG126" i="2"/>
  <c r="AF126" i="2"/>
  <c r="AE126" i="2"/>
  <c r="AD126" i="2"/>
  <c r="AC126" i="2"/>
  <c r="AB126" i="2"/>
  <c r="AG125" i="2"/>
  <c r="AF125" i="2"/>
  <c r="AE125" i="2"/>
  <c r="AD125" i="2"/>
  <c r="AC125" i="2"/>
  <c r="AB125" i="2"/>
  <c r="AG124" i="2"/>
  <c r="AF124" i="2"/>
  <c r="AE124" i="2"/>
  <c r="AD124" i="2"/>
  <c r="AC124" i="2"/>
  <c r="AB124" i="2"/>
  <c r="AG123" i="2"/>
  <c r="AF123" i="2"/>
  <c r="AE123" i="2"/>
  <c r="AD123" i="2"/>
  <c r="AC123" i="2"/>
  <c r="AB123" i="2"/>
  <c r="AG122" i="2"/>
  <c r="AF122" i="2"/>
  <c r="AE122" i="2"/>
  <c r="AD122" i="2"/>
  <c r="AC122" i="2"/>
  <c r="AB122" i="2"/>
  <c r="AG121" i="2"/>
  <c r="AF121" i="2"/>
  <c r="AE121" i="2"/>
  <c r="AD121" i="2"/>
  <c r="AC121" i="2"/>
  <c r="AB121" i="2"/>
  <c r="AG120" i="2"/>
  <c r="AF120" i="2"/>
  <c r="AE120" i="2"/>
  <c r="AD120" i="2"/>
  <c r="AC120" i="2"/>
  <c r="AB120" i="2"/>
  <c r="AG119" i="2"/>
  <c r="AF119" i="2"/>
  <c r="AE119" i="2"/>
  <c r="AD119" i="2"/>
  <c r="AC119" i="2"/>
  <c r="AB119" i="2"/>
  <c r="AG118" i="2"/>
  <c r="AF118" i="2"/>
  <c r="AE118" i="2"/>
  <c r="AD118" i="2"/>
  <c r="AC118" i="2"/>
  <c r="AB118" i="2"/>
  <c r="AG117" i="2"/>
  <c r="AF117" i="2"/>
  <c r="AE117" i="2"/>
  <c r="AD117" i="2"/>
  <c r="AC117" i="2"/>
  <c r="AB117" i="2"/>
  <c r="AG116" i="2"/>
  <c r="AF116" i="2"/>
  <c r="AE116" i="2"/>
  <c r="AD116" i="2"/>
  <c r="AC116" i="2"/>
  <c r="AB116" i="2"/>
  <c r="AG115" i="2"/>
  <c r="AF115" i="2"/>
  <c r="AE115" i="2"/>
  <c r="AD115" i="2"/>
  <c r="AC115" i="2"/>
  <c r="AB115" i="2"/>
  <c r="AG114" i="2"/>
  <c r="AF114" i="2"/>
  <c r="AE114" i="2"/>
  <c r="AD114" i="2"/>
  <c r="AC114" i="2"/>
  <c r="AB114" i="2"/>
  <c r="AG113" i="2"/>
  <c r="AF113" i="2"/>
  <c r="AE113" i="2"/>
  <c r="AD113" i="2"/>
  <c r="AC113" i="2"/>
  <c r="AB113" i="2"/>
  <c r="AG112" i="2"/>
  <c r="AF112" i="2"/>
  <c r="AE112" i="2"/>
  <c r="AD112" i="2"/>
  <c r="AC112" i="2"/>
  <c r="AB112" i="2"/>
  <c r="AG111" i="2"/>
  <c r="AF111" i="2"/>
  <c r="AE111" i="2"/>
  <c r="AD111" i="2"/>
  <c r="AC111" i="2"/>
  <c r="AB111" i="2"/>
  <c r="AG110" i="2"/>
  <c r="AF110" i="2"/>
  <c r="AE110" i="2"/>
  <c r="AD110" i="2"/>
  <c r="AC110" i="2"/>
  <c r="AB110" i="2"/>
  <c r="AG109" i="2"/>
  <c r="AF109" i="2"/>
  <c r="AE109" i="2"/>
  <c r="AD109" i="2"/>
  <c r="AC109" i="2"/>
  <c r="AB109" i="2"/>
  <c r="AG108" i="2"/>
  <c r="AF108" i="2"/>
  <c r="AE108" i="2"/>
  <c r="AD108" i="2"/>
  <c r="AC108" i="2"/>
  <c r="AB108" i="2"/>
  <c r="AG107" i="2"/>
  <c r="AF107" i="2"/>
  <c r="AE107" i="2"/>
  <c r="AD107" i="2"/>
  <c r="AC107" i="2"/>
  <c r="AB107" i="2"/>
  <c r="AG106" i="2"/>
  <c r="AF106" i="2"/>
  <c r="AE106" i="2"/>
  <c r="AD106" i="2"/>
  <c r="AC106" i="2"/>
  <c r="AB106" i="2"/>
  <c r="AG105" i="2"/>
  <c r="AF105" i="2"/>
  <c r="AE105" i="2"/>
  <c r="AD105" i="2"/>
  <c r="AC105" i="2"/>
  <c r="AB105" i="2"/>
  <c r="AG104" i="2"/>
  <c r="AF104" i="2"/>
  <c r="AE104" i="2"/>
  <c r="AD104" i="2"/>
  <c r="AC104" i="2"/>
  <c r="AB104" i="2"/>
  <c r="AG103" i="2"/>
  <c r="AF103" i="2"/>
  <c r="AE103" i="2"/>
  <c r="AD103" i="2"/>
  <c r="AC103" i="2"/>
  <c r="AB103" i="2"/>
  <c r="AG102" i="2"/>
  <c r="AF102" i="2"/>
  <c r="AE102" i="2"/>
  <c r="AD102" i="2"/>
  <c r="AC102" i="2"/>
  <c r="AB102" i="2"/>
  <c r="AG101" i="2"/>
  <c r="AF101" i="2"/>
  <c r="AE101" i="2"/>
  <c r="AD101" i="2"/>
  <c r="AC101" i="2"/>
  <c r="AB101" i="2"/>
  <c r="AG100" i="2"/>
  <c r="AF100" i="2"/>
  <c r="AE100" i="2"/>
  <c r="AD100" i="2"/>
  <c r="AC100" i="2"/>
  <c r="AB100" i="2"/>
  <c r="AG99" i="2"/>
  <c r="AF99" i="2"/>
  <c r="AE99" i="2"/>
  <c r="AD99" i="2"/>
  <c r="AC99" i="2"/>
  <c r="AB99" i="2"/>
  <c r="AG98" i="2"/>
  <c r="AF98" i="2"/>
  <c r="AE98" i="2"/>
  <c r="AD98" i="2"/>
  <c r="AC98" i="2"/>
  <c r="AB98" i="2"/>
  <c r="AG97" i="2"/>
  <c r="AF97" i="2"/>
  <c r="AE97" i="2"/>
  <c r="AD97" i="2"/>
  <c r="AC97" i="2"/>
  <c r="AB97" i="2"/>
  <c r="AG96" i="2"/>
  <c r="AF96" i="2"/>
  <c r="AE96" i="2"/>
  <c r="AD96" i="2"/>
  <c r="AC96" i="2"/>
  <c r="AB96" i="2"/>
  <c r="AG95" i="2"/>
  <c r="AF95" i="2"/>
  <c r="AE95" i="2"/>
  <c r="AD95" i="2"/>
  <c r="AC95" i="2"/>
  <c r="AB95" i="2"/>
  <c r="AG94" i="2"/>
  <c r="AF94" i="2"/>
  <c r="AE94" i="2"/>
  <c r="AD94" i="2"/>
  <c r="AC94" i="2"/>
  <c r="AB94" i="2"/>
  <c r="AG93" i="2"/>
  <c r="AF93" i="2"/>
  <c r="AE93" i="2"/>
  <c r="AD93" i="2"/>
  <c r="AC93" i="2"/>
  <c r="AB93" i="2"/>
  <c r="AG92" i="2"/>
  <c r="AF92" i="2"/>
  <c r="AE92" i="2"/>
  <c r="AD92" i="2"/>
  <c r="AC92" i="2"/>
  <c r="AB92" i="2"/>
  <c r="AG91" i="2"/>
  <c r="AF91" i="2"/>
  <c r="AE91" i="2"/>
  <c r="AD91" i="2"/>
  <c r="AC91" i="2"/>
  <c r="AB91" i="2"/>
  <c r="AG90" i="2"/>
  <c r="AF90" i="2"/>
  <c r="AE90" i="2"/>
  <c r="AD90" i="2"/>
  <c r="AC90" i="2"/>
  <c r="AB90" i="2"/>
  <c r="AG89" i="2"/>
  <c r="AF89" i="2"/>
  <c r="AE89" i="2"/>
  <c r="AD89" i="2"/>
  <c r="AC89" i="2"/>
  <c r="AB89" i="2"/>
  <c r="AG88" i="2"/>
  <c r="AF88" i="2"/>
  <c r="AE88" i="2"/>
  <c r="AD88" i="2"/>
  <c r="AC88" i="2"/>
  <c r="AB88" i="2"/>
  <c r="AG87" i="2"/>
  <c r="AF87" i="2"/>
  <c r="AE87" i="2"/>
  <c r="AD87" i="2"/>
  <c r="AC87" i="2"/>
  <c r="AB87" i="2"/>
  <c r="AG86" i="2"/>
  <c r="AF86" i="2"/>
  <c r="AE86" i="2"/>
  <c r="AD86" i="2"/>
  <c r="AC86" i="2"/>
  <c r="AB86" i="2"/>
  <c r="AG85" i="2"/>
  <c r="AF85" i="2"/>
  <c r="AE85" i="2"/>
  <c r="AD85" i="2"/>
  <c r="AC85" i="2"/>
  <c r="AB85" i="2"/>
  <c r="AG84" i="2"/>
  <c r="AF84" i="2"/>
  <c r="AE84" i="2"/>
  <c r="AD84" i="2"/>
  <c r="AC84" i="2"/>
  <c r="AB84" i="2"/>
  <c r="AG83" i="2"/>
  <c r="AF83" i="2"/>
  <c r="AE83" i="2"/>
  <c r="AD83" i="2"/>
  <c r="AC83" i="2"/>
  <c r="AB83" i="2"/>
  <c r="AG82" i="2"/>
  <c r="AF82" i="2"/>
  <c r="AE82" i="2"/>
  <c r="AD82" i="2"/>
  <c r="AC82" i="2"/>
  <c r="AB82" i="2"/>
  <c r="AG81" i="2"/>
  <c r="AF81" i="2"/>
  <c r="AE81" i="2"/>
  <c r="AD81" i="2"/>
  <c r="AC81" i="2"/>
  <c r="AB81" i="2"/>
  <c r="AG80" i="2"/>
  <c r="AF80" i="2"/>
  <c r="AE80" i="2"/>
  <c r="AD80" i="2"/>
  <c r="AC80" i="2"/>
  <c r="AB80" i="2"/>
  <c r="AG79" i="2"/>
  <c r="AF79" i="2"/>
  <c r="AE79" i="2"/>
  <c r="AD79" i="2"/>
  <c r="AC79" i="2"/>
  <c r="AB79" i="2"/>
  <c r="AG78" i="2"/>
  <c r="AF78" i="2"/>
  <c r="AE78" i="2"/>
  <c r="AD78" i="2"/>
  <c r="AC78" i="2"/>
  <c r="AB78" i="2"/>
  <c r="AG77" i="2"/>
  <c r="AF77" i="2"/>
  <c r="AE77" i="2"/>
  <c r="AD77" i="2"/>
  <c r="AC77" i="2"/>
  <c r="AB77" i="2"/>
  <c r="AG76" i="2"/>
  <c r="AF76" i="2"/>
  <c r="AE76" i="2"/>
  <c r="AD76" i="2"/>
  <c r="AC76" i="2"/>
  <c r="AB76" i="2"/>
  <c r="AG75" i="2"/>
  <c r="AF75" i="2"/>
  <c r="AE75" i="2"/>
  <c r="AD75" i="2"/>
  <c r="AC75" i="2"/>
  <c r="AB75" i="2"/>
  <c r="AG74" i="2"/>
  <c r="AF74" i="2"/>
  <c r="AE74" i="2"/>
  <c r="AD74" i="2"/>
  <c r="AC74" i="2"/>
  <c r="AB74" i="2"/>
  <c r="AG73" i="2"/>
  <c r="AF73" i="2"/>
  <c r="AE73" i="2"/>
  <c r="AD73" i="2"/>
  <c r="AC73" i="2"/>
  <c r="AB73" i="2"/>
  <c r="AG72" i="2"/>
  <c r="AF72" i="2"/>
  <c r="AE72" i="2"/>
  <c r="AD72" i="2"/>
  <c r="AC72" i="2"/>
  <c r="AB72" i="2"/>
  <c r="AG71" i="2"/>
  <c r="AF71" i="2"/>
  <c r="AE71" i="2"/>
  <c r="AD71" i="2"/>
  <c r="AC71" i="2"/>
  <c r="AB71" i="2"/>
  <c r="AG70" i="2"/>
  <c r="AF70" i="2"/>
  <c r="AE70" i="2"/>
  <c r="AD70" i="2"/>
  <c r="AC70" i="2"/>
  <c r="AB70" i="2"/>
  <c r="AG69" i="2"/>
  <c r="AF69" i="2"/>
  <c r="AE69" i="2"/>
  <c r="AD69" i="2"/>
  <c r="AC69" i="2"/>
  <c r="AB69" i="2"/>
  <c r="AG68" i="2"/>
  <c r="AF68" i="2"/>
  <c r="AE68" i="2"/>
  <c r="AD68" i="2"/>
  <c r="AC68" i="2"/>
  <c r="AB68" i="2"/>
  <c r="AG67" i="2"/>
  <c r="AF67" i="2"/>
  <c r="AE67" i="2"/>
  <c r="AD67" i="2"/>
  <c r="AC67" i="2"/>
  <c r="AB67" i="2"/>
  <c r="AG66" i="2"/>
  <c r="AF66" i="2"/>
  <c r="AE66" i="2"/>
  <c r="AD66" i="2"/>
  <c r="AC66" i="2"/>
  <c r="AB66" i="2"/>
  <c r="AG65" i="2"/>
  <c r="AF65" i="2"/>
  <c r="AE65" i="2"/>
  <c r="AD65" i="2"/>
  <c r="AC65" i="2"/>
  <c r="AB65" i="2"/>
  <c r="AG64" i="2"/>
  <c r="AF64" i="2"/>
  <c r="AE64" i="2"/>
  <c r="AD64" i="2"/>
  <c r="AC64" i="2"/>
  <c r="AB64" i="2"/>
  <c r="AG63" i="2"/>
  <c r="AF63" i="2"/>
  <c r="AE63" i="2"/>
  <c r="AD63" i="2"/>
  <c r="AC63" i="2"/>
  <c r="AB63" i="2"/>
  <c r="AG62" i="2"/>
  <c r="AF62" i="2"/>
  <c r="AE62" i="2"/>
  <c r="AD62" i="2"/>
  <c r="AC62" i="2"/>
  <c r="AB62" i="2"/>
  <c r="AG61" i="2"/>
  <c r="AF61" i="2"/>
  <c r="AE61" i="2"/>
  <c r="AD61" i="2"/>
  <c r="AC61" i="2"/>
  <c r="AB61" i="2"/>
  <c r="AG60" i="2"/>
  <c r="AF60" i="2"/>
  <c r="AE60" i="2"/>
  <c r="AD60" i="2"/>
  <c r="AC60" i="2"/>
  <c r="AB60" i="2"/>
  <c r="AG59" i="2"/>
  <c r="AF59" i="2"/>
  <c r="AE59" i="2"/>
  <c r="AD59" i="2"/>
  <c r="AC59" i="2"/>
  <c r="AB59" i="2"/>
  <c r="AG58" i="2"/>
  <c r="AF58" i="2"/>
  <c r="AE58" i="2"/>
  <c r="AD58" i="2"/>
  <c r="AC58" i="2"/>
  <c r="AB58" i="2"/>
  <c r="AG57" i="2"/>
  <c r="AF57" i="2"/>
  <c r="AE57" i="2"/>
  <c r="AD57" i="2"/>
  <c r="AC57" i="2"/>
  <c r="AB57" i="2"/>
  <c r="AG56" i="2"/>
  <c r="AF56" i="2"/>
  <c r="AE56" i="2"/>
  <c r="AD56" i="2"/>
  <c r="AC56" i="2"/>
  <c r="AB56" i="2"/>
  <c r="AG55" i="2"/>
  <c r="AF55" i="2"/>
  <c r="AE55" i="2"/>
  <c r="AD55" i="2"/>
  <c r="AC55" i="2"/>
  <c r="AB55" i="2"/>
  <c r="AG54" i="2"/>
  <c r="AF54" i="2"/>
  <c r="AE54" i="2"/>
  <c r="AD54" i="2"/>
  <c r="AC54" i="2"/>
  <c r="AB54" i="2"/>
  <c r="AG53" i="2"/>
  <c r="AF53" i="2"/>
  <c r="AE53" i="2"/>
  <c r="AD53" i="2"/>
  <c r="AC53" i="2"/>
  <c r="AB53" i="2"/>
  <c r="AG52" i="2"/>
  <c r="AF52" i="2"/>
  <c r="AE52" i="2"/>
  <c r="AD52" i="2"/>
  <c r="AC52" i="2"/>
  <c r="AB52" i="2"/>
  <c r="AG51" i="2"/>
  <c r="AF51" i="2"/>
  <c r="AE51" i="2"/>
  <c r="AD51" i="2"/>
  <c r="AC51" i="2"/>
  <c r="AB51" i="2"/>
  <c r="AG50" i="2"/>
  <c r="AF50" i="2"/>
  <c r="AE50" i="2"/>
  <c r="AD50" i="2"/>
  <c r="AC50" i="2"/>
  <c r="AB50" i="2"/>
  <c r="AG49" i="2"/>
  <c r="AF49" i="2"/>
  <c r="AE49" i="2"/>
  <c r="AD49" i="2"/>
  <c r="AC49" i="2"/>
  <c r="AB49" i="2"/>
  <c r="AG48" i="2"/>
  <c r="AF48" i="2"/>
  <c r="AE48" i="2"/>
  <c r="AD48" i="2"/>
  <c r="AC48" i="2"/>
  <c r="AB48" i="2"/>
  <c r="AG47" i="2"/>
  <c r="AF47" i="2"/>
  <c r="AE47" i="2"/>
  <c r="AD47" i="2"/>
  <c r="AC47" i="2"/>
  <c r="AB47" i="2"/>
  <c r="AG46" i="2"/>
  <c r="AF46" i="2"/>
  <c r="AE46" i="2"/>
  <c r="AD46" i="2"/>
  <c r="AC46" i="2"/>
  <c r="AB46" i="2"/>
  <c r="AG45" i="2"/>
  <c r="AF45" i="2"/>
  <c r="AE45" i="2"/>
  <c r="AD45" i="2"/>
  <c r="AC45" i="2"/>
  <c r="AB45" i="2"/>
  <c r="AG44" i="2"/>
  <c r="AF44" i="2"/>
  <c r="AE44" i="2"/>
  <c r="AD44" i="2"/>
  <c r="AC44" i="2"/>
  <c r="AB44" i="2"/>
  <c r="AG43" i="2"/>
  <c r="AF43" i="2"/>
  <c r="AE43" i="2"/>
  <c r="AD43" i="2"/>
  <c r="AC43" i="2"/>
  <c r="AB43" i="2"/>
  <c r="AG42" i="2"/>
  <c r="AF42" i="2"/>
  <c r="AE42" i="2"/>
  <c r="AD42" i="2"/>
  <c r="AC42" i="2"/>
  <c r="AB42" i="2"/>
  <c r="AG41" i="2"/>
  <c r="AF41" i="2"/>
  <c r="AE41" i="2"/>
  <c r="AD41" i="2"/>
  <c r="AC41" i="2"/>
  <c r="AB41" i="2"/>
  <c r="AG40" i="2"/>
  <c r="AF40" i="2"/>
  <c r="AE40" i="2"/>
  <c r="AD40" i="2"/>
  <c r="AC40" i="2"/>
  <c r="AB40" i="2"/>
  <c r="AG39" i="2"/>
  <c r="AF39" i="2"/>
  <c r="AE39" i="2"/>
  <c r="AD39" i="2"/>
  <c r="AC39" i="2"/>
  <c r="AB39" i="2"/>
  <c r="AG38" i="2"/>
  <c r="AF38" i="2"/>
  <c r="AE38" i="2"/>
  <c r="AD38" i="2"/>
  <c r="AC38" i="2"/>
  <c r="AB38" i="2"/>
  <c r="AG37" i="2"/>
  <c r="AF37" i="2"/>
  <c r="AE37" i="2"/>
  <c r="AD37" i="2"/>
  <c r="AC37" i="2"/>
  <c r="AB37" i="2"/>
  <c r="AG36" i="2"/>
  <c r="AF36" i="2"/>
  <c r="AE36" i="2"/>
  <c r="AD36" i="2"/>
  <c r="AC36" i="2"/>
  <c r="AB36" i="2"/>
  <c r="AG35" i="2"/>
  <c r="AF35" i="2"/>
  <c r="AE35" i="2"/>
  <c r="AD35" i="2"/>
  <c r="AC35" i="2"/>
  <c r="AB35" i="2"/>
  <c r="AG34" i="2"/>
  <c r="AF34" i="2"/>
  <c r="AE34" i="2"/>
  <c r="AD34" i="2"/>
  <c r="AC34" i="2"/>
  <c r="AB34" i="2"/>
  <c r="AG33" i="2"/>
  <c r="AF33" i="2"/>
  <c r="AE33" i="2"/>
  <c r="AD33" i="2"/>
  <c r="AC33" i="2"/>
  <c r="AB33" i="2"/>
  <c r="AG32" i="2"/>
  <c r="AF32" i="2"/>
  <c r="AE32" i="2"/>
  <c r="AD32" i="2"/>
  <c r="AC32" i="2"/>
  <c r="AB32" i="2"/>
  <c r="AG31" i="2"/>
  <c r="AF31" i="2"/>
  <c r="AE31" i="2"/>
  <c r="AD31" i="2"/>
  <c r="AC31" i="2"/>
  <c r="AB31" i="2"/>
  <c r="AG30" i="2"/>
  <c r="AF30" i="2"/>
  <c r="AE30" i="2"/>
  <c r="AD30" i="2"/>
  <c r="AC30" i="2"/>
  <c r="AB30" i="2"/>
  <c r="AG29" i="2"/>
  <c r="AF29" i="2"/>
  <c r="AE29" i="2"/>
  <c r="AD29" i="2"/>
  <c r="AC29" i="2"/>
  <c r="AB29" i="2"/>
  <c r="AG28" i="2"/>
  <c r="AF28" i="2"/>
  <c r="AE28" i="2"/>
  <c r="AD28" i="2"/>
  <c r="AC28" i="2"/>
  <c r="AB28" i="2"/>
  <c r="AG27" i="2"/>
  <c r="AF27" i="2"/>
  <c r="AE27" i="2"/>
  <c r="AD27" i="2"/>
  <c r="AC27" i="2"/>
  <c r="AB27" i="2"/>
  <c r="AG26" i="2"/>
  <c r="AF26" i="2"/>
  <c r="AE26" i="2"/>
  <c r="AD26" i="2"/>
  <c r="AC26" i="2"/>
  <c r="AB26" i="2"/>
  <c r="AG25" i="2"/>
  <c r="AF25" i="2"/>
  <c r="AE25" i="2"/>
  <c r="AD25" i="2"/>
  <c r="AC25" i="2"/>
  <c r="AB25" i="2"/>
  <c r="AG24" i="2"/>
  <c r="AF24" i="2"/>
  <c r="AE24" i="2"/>
  <c r="AD24" i="2"/>
  <c r="AC24" i="2"/>
  <c r="AB24" i="2"/>
  <c r="AG23" i="2"/>
  <c r="AF23" i="2"/>
  <c r="AE23" i="2"/>
  <c r="AD23" i="2"/>
  <c r="AC23" i="2"/>
  <c r="AB23" i="2"/>
  <c r="AG22" i="2"/>
  <c r="AF22" i="2"/>
  <c r="AE22" i="2"/>
  <c r="AD22" i="2"/>
  <c r="AC22" i="2"/>
  <c r="AB22" i="2"/>
  <c r="AG21" i="2"/>
  <c r="AF21" i="2"/>
  <c r="AE21" i="2"/>
  <c r="AD21" i="2"/>
  <c r="AC21" i="2"/>
  <c r="AB21" i="2"/>
  <c r="AG20" i="2"/>
  <c r="AF20" i="2"/>
  <c r="AE20" i="2"/>
  <c r="AD20" i="2"/>
  <c r="AC20" i="2"/>
  <c r="AB20" i="2"/>
  <c r="AG19" i="2"/>
  <c r="AF19" i="2"/>
  <c r="AE19" i="2"/>
  <c r="AD19" i="2"/>
  <c r="AC19" i="2"/>
  <c r="AB19" i="2"/>
  <c r="AG18" i="2"/>
  <c r="AF18" i="2"/>
  <c r="AE18" i="2"/>
  <c r="AD18" i="2"/>
  <c r="AC18" i="2"/>
  <c r="AB18" i="2"/>
  <c r="AG17" i="2"/>
  <c r="AF17" i="2"/>
  <c r="AE17" i="2"/>
  <c r="AD17" i="2"/>
  <c r="AC17" i="2"/>
  <c r="AB17" i="2"/>
  <c r="AG16" i="2"/>
  <c r="AF16" i="2"/>
  <c r="AE16" i="2"/>
  <c r="AD16" i="2"/>
  <c r="AC16" i="2"/>
  <c r="AB16" i="2"/>
  <c r="AG15" i="2"/>
  <c r="AF15" i="2"/>
  <c r="AE15" i="2"/>
  <c r="AD15" i="2"/>
  <c r="AC15" i="2"/>
  <c r="AB15" i="2"/>
  <c r="AG14" i="2"/>
  <c r="AF14" i="2"/>
  <c r="AE14" i="2"/>
  <c r="AD14" i="2"/>
  <c r="AC14" i="2"/>
  <c r="AB14" i="2"/>
  <c r="AG13" i="2"/>
  <c r="AF13" i="2"/>
  <c r="AE13" i="2"/>
  <c r="AD13" i="2"/>
  <c r="AC13" i="2"/>
  <c r="AB13" i="2"/>
  <c r="AG12" i="2"/>
  <c r="AF12" i="2"/>
  <c r="AE12" i="2"/>
  <c r="AD12" i="2"/>
  <c r="AC12" i="2"/>
  <c r="AB12" i="2"/>
  <c r="AG11" i="2"/>
  <c r="AF11" i="2"/>
  <c r="AE11" i="2"/>
  <c r="AD11" i="2"/>
  <c r="AC11" i="2"/>
  <c r="AB11" i="2"/>
  <c r="AG10" i="2"/>
  <c r="AF10" i="2"/>
  <c r="AE10" i="2"/>
  <c r="AD10" i="2"/>
  <c r="AC10" i="2"/>
  <c r="AB10" i="2"/>
  <c r="AG9" i="2"/>
  <c r="AF9" i="2"/>
  <c r="AE9" i="2"/>
  <c r="AD9" i="2"/>
  <c r="AC9" i="2"/>
  <c r="AB9" i="2"/>
  <c r="AG8" i="2"/>
  <c r="AF8" i="2"/>
  <c r="AE8" i="2"/>
  <c r="AD8" i="2"/>
  <c r="AC8" i="2"/>
  <c r="AB8" i="2"/>
  <c r="AG7" i="2"/>
  <c r="AF7" i="2"/>
  <c r="AE7" i="2"/>
  <c r="AD7" i="2"/>
  <c r="AC7" i="2"/>
  <c r="AB7" i="2"/>
  <c r="AG6" i="2"/>
  <c r="AF6" i="2"/>
  <c r="AE6" i="2"/>
  <c r="AD6" i="2"/>
  <c r="AC6" i="2"/>
  <c r="AB6" i="2"/>
  <c r="AG5" i="2"/>
  <c r="AF5" i="2"/>
  <c r="AE5" i="2"/>
  <c r="AD5" i="2"/>
  <c r="AC5" i="2"/>
  <c r="AB5" i="2"/>
  <c r="AG4" i="2"/>
  <c r="AF4" i="2"/>
  <c r="AE4" i="2"/>
  <c r="AD4" i="2"/>
  <c r="AC4" i="2"/>
  <c r="AB4" i="2"/>
  <c r="AG3" i="2"/>
  <c r="AF3" i="2"/>
  <c r="AE3" i="2"/>
  <c r="AD3" i="2"/>
  <c r="AC3" i="2"/>
  <c r="AB3" i="2"/>
  <c r="AG2" i="2"/>
  <c r="AF2" i="2"/>
  <c r="AE2" i="2"/>
  <c r="AD2" i="2"/>
  <c r="AC2" i="2"/>
  <c r="AB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코딩 양식</author>
  </authors>
  <commentList>
    <comment ref="A1" authorId="0" shapeId="0" xr:uid="{00000000-0006-0000-0100-000001000000}">
      <text>
        <r>
          <rPr>
            <sz val="11"/>
            <color theme="1"/>
            <rFont val="Calibri"/>
            <family val="2"/>
            <scheme val="minor"/>
          </rPr>
          <t>조치 번호</t>
        </r>
      </text>
    </comment>
    <comment ref="B1" authorId="0" shapeId="0" xr:uid="{00000000-0006-0000-0100-000002000000}">
      <text>
        <r>
          <rPr>
            <sz val="11"/>
            <color theme="1"/>
            <rFont val="Calibri"/>
            <family val="2"/>
            <scheme val="minor"/>
          </rPr>
          <t>코딩 대상 판의 부령 제명</t>
        </r>
      </text>
    </comment>
    <comment ref="C1" authorId="0" shapeId="0" xr:uid="{00000000-0006-0000-0100-000003000000}">
      <text>
        <r>
          <rPr>
            <sz val="11"/>
            <color theme="1"/>
            <rFont val="Calibri"/>
            <family val="2"/>
            <scheme val="minor"/>
          </rPr>
          <t>조치(첫 판) 시행일</t>
        </r>
      </text>
    </comment>
    <comment ref="D1" authorId="0" shapeId="0" xr:uid="{00000000-0006-0000-0100-000004000000}">
      <text>
        <r>
          <rPr>
            <sz val="11"/>
            <color theme="1"/>
            <rFont val="Calibri"/>
            <family val="2"/>
            <scheme val="minor"/>
          </rPr>
          <t>마지막 유효판의 시행일과 제정·개정 구분</t>
        </r>
      </text>
    </comment>
    <comment ref="E1" authorId="0" shapeId="0" xr:uid="{00000000-0006-0000-0100-000005000000}">
      <text>
        <r>
          <rPr>
            <sz val="11"/>
            <color theme="1"/>
            <rFont val="Calibri"/>
            <family val="2"/>
            <scheme val="minor"/>
          </rPr>
          <t>부령 본문의 부과대상 물품 조문</t>
        </r>
      </text>
    </comment>
    <comment ref="F1" authorId="0" shapeId="0" xr:uid="{00000000-0006-0000-0100-000006000000}">
      <text>
        <r>
          <rPr>
            <sz val="11"/>
            <color theme="1"/>
            <rFont val="Calibri"/>
            <family val="2"/>
            <scheme val="minor"/>
          </rPr>
          <t>부과대상 조문 가운데 '제외'를 말하는 부분(자동 추출이라 부과조건이 섞일 수 있음)</t>
        </r>
      </text>
    </comment>
    <comment ref="G1" authorId="0" shapeId="0" xr:uid="{00000000-0006-0000-0100-000007000000}">
      <text>
        <r>
          <rPr>
            <sz val="11"/>
            <color theme="1"/>
            <rFont val="Calibri"/>
            <family val="2"/>
            <scheme val="minor"/>
          </rPr>
          <t>제목에 '제외'가 든 별표의 본문</t>
        </r>
      </text>
    </comment>
    <comment ref="H1" authorId="0" shapeId="0" xr:uid="{00000000-0006-0000-0100-000008000000}">
      <text>
        <r>
          <rPr>
            <sz val="11"/>
            <color theme="1"/>
            <rFont val="Calibri"/>
            <family val="2"/>
            <scheme val="minor"/>
          </rPr>
          <t>본문이 '별표에 규정된 품목'으로 부과대상을 정할 때의 그 별표(세율표 등)</t>
        </r>
      </text>
    </comment>
    <comment ref="I1" authorId="0" shapeId="0" xr:uid="{00000000-0006-0000-0100-000009000000}">
      <text>
        <r>
          <rPr>
            <sz val="11"/>
            <color theme="1"/>
            <rFont val="Calibri"/>
            <family val="2"/>
            <scheme val="minor"/>
          </rPr>
          <t>첫 판과 문언이 다를 때만. 판 사이 변경(changed) 판단에 쓴다</t>
        </r>
      </text>
    </comment>
    <comment ref="J1" authorId="0" shapeId="0" xr:uid="{00000000-0006-0000-0100-00000A000000}">
      <text>
        <r>
          <rPr>
            <sz val="11"/>
            <color theme="1"/>
            <rFont val="Calibri"/>
            <family val="2"/>
            <scheme val="minor"/>
          </rPr>
          <t>첫 판과 문언이 다를 때만</t>
        </r>
      </text>
    </comment>
    <comment ref="K1" authorId="0" shapeId="0" xr:uid="{00000000-0006-0000-0100-00000B000000}">
      <text>
        <r>
          <rPr>
            <sz val="11"/>
            <color theme="1"/>
            <rFont val="Calibri"/>
            <family val="2"/>
            <scheme val="minor"/>
          </rPr>
          <t>부과대상 조건에 규격 유형이 있으면 Y</t>
        </r>
      </text>
    </comment>
    <comment ref="L1" authorId="0" shapeId="0" xr:uid="{00000000-0006-0000-0100-00000C000000}">
      <text>
        <r>
          <rPr>
            <sz val="11"/>
            <color theme="1"/>
            <rFont val="Calibri"/>
            <family val="2"/>
            <scheme val="minor"/>
          </rPr>
          <t>부과대상 조건에 가공상태 유형이 있으면 Y</t>
        </r>
      </text>
    </comment>
    <comment ref="M1" authorId="0" shapeId="0" xr:uid="{00000000-0006-0000-0100-00000D000000}">
      <text>
        <r>
          <rPr>
            <sz val="11"/>
            <color theme="1"/>
            <rFont val="Calibri"/>
            <family val="2"/>
            <scheme val="minor"/>
          </rPr>
          <t>부과대상 조건에 용도 유형이 있으면 Y</t>
        </r>
      </text>
    </comment>
    <comment ref="N1" authorId="0" shapeId="0" xr:uid="{00000000-0006-0000-0100-00000E000000}">
      <text>
        <r>
          <rPr>
            <sz val="11"/>
            <color theme="1"/>
            <rFont val="Calibri"/>
            <family val="2"/>
            <scheme val="minor"/>
          </rPr>
          <t>부과대상 조건에 분류 유형이 있으면 Y</t>
        </r>
      </text>
    </comment>
    <comment ref="O1" authorId="0" shapeId="0" xr:uid="{00000000-0006-0000-0100-00000F000000}">
      <text>
        <r>
          <rPr>
            <sz val="11"/>
            <color theme="1"/>
            <rFont val="Calibri"/>
            <family val="2"/>
            <scheme val="minor"/>
          </rPr>
          <t>부과대상 조건에 제품지정 유형이 있으면 Y</t>
        </r>
      </text>
    </comment>
    <comment ref="P1" authorId="0" shapeId="0" xr:uid="{00000000-0006-0000-0100-000010000000}">
      <text>
        <r>
          <rPr>
            <sz val="11"/>
            <color theme="1"/>
            <rFont val="Calibri"/>
            <family val="2"/>
            <scheme val="minor"/>
          </rPr>
          <t>제외 요건에 규격 유형이 있으면 Y</t>
        </r>
      </text>
    </comment>
    <comment ref="Q1" authorId="0" shapeId="0" xr:uid="{00000000-0006-0000-0100-000011000000}">
      <text>
        <r>
          <rPr>
            <sz val="11"/>
            <color theme="1"/>
            <rFont val="Calibri"/>
            <family val="2"/>
            <scheme val="minor"/>
          </rPr>
          <t>제외 요건에 가공상태 유형이 있으면 Y</t>
        </r>
      </text>
    </comment>
    <comment ref="R1" authorId="0" shapeId="0" xr:uid="{00000000-0006-0000-0100-000012000000}">
      <text>
        <r>
          <rPr>
            <sz val="11"/>
            <color theme="1"/>
            <rFont val="Calibri"/>
            <family val="2"/>
            <scheme val="minor"/>
          </rPr>
          <t>제외 요건에 용도 유형이 있으면 Y</t>
        </r>
      </text>
    </comment>
    <comment ref="S1" authorId="0" shapeId="0" xr:uid="{00000000-0006-0000-0100-000013000000}">
      <text>
        <r>
          <rPr>
            <sz val="11"/>
            <color theme="1"/>
            <rFont val="Calibri"/>
            <family val="2"/>
            <scheme val="minor"/>
          </rPr>
          <t>제외 요건에 분류 유형이 있으면 Y</t>
        </r>
      </text>
    </comment>
    <comment ref="T1" authorId="0" shapeId="0" xr:uid="{00000000-0006-0000-0100-000014000000}">
      <text>
        <r>
          <rPr>
            <sz val="11"/>
            <color theme="1"/>
            <rFont val="Calibri"/>
            <family val="2"/>
            <scheme val="minor"/>
          </rPr>
          <t>제외 요건에 제품지정 유형이 있으면 Y</t>
        </r>
      </text>
    </comment>
    <comment ref="U1" authorId="0" shapeId="0" xr:uid="{00000000-0006-0000-0100-000015000000}">
      <text>
        <r>
          <rPr>
            <sz val="11"/>
            <color theme="1"/>
            <rFont val="Calibri"/>
            <family val="2"/>
            <scheme val="minor"/>
          </rPr>
          <t>본문 / 별표 / 둘다 / 없음 (코드북 4절)</t>
        </r>
      </text>
    </comment>
    <comment ref="V1" authorId="0" shapeId="0" xr:uid="{00000000-0006-0000-0100-000016000000}">
      <text>
        <r>
          <rPr>
            <sz val="11"/>
            <color theme="1"/>
            <rFont val="Calibri"/>
            <family val="2"/>
            <scheme val="minor"/>
          </rPr>
          <t>제외 항목 수(코드북 3절·5절 5번)</t>
        </r>
      </text>
    </comment>
    <comment ref="W1" authorId="0" shapeId="0" xr:uid="{00000000-0006-0000-0100-000017000000}">
      <text>
        <r>
          <rPr>
            <sz val="11"/>
            <color theme="1"/>
            <rFont val="Calibri"/>
            <family val="2"/>
            <scheme val="minor"/>
          </rPr>
          <t>첫 판과 범위 내용이 다르면 Y, 같으면 N (코드북 5절 4번)</t>
        </r>
      </text>
    </comment>
    <comment ref="X1" authorId="0" shapeId="0" xr:uid="{00000000-0006-0000-0100-000018000000}">
      <text>
        <r>
          <rPr>
            <sz val="11"/>
            <color theme="1"/>
            <rFont val="Calibri"/>
            <family val="2"/>
            <scheme val="minor"/>
          </rPr>
          <t>부과대상 조건의 근거 문구(짧게 인용)</t>
        </r>
      </text>
    </comment>
    <comment ref="Y1" authorId="0" shapeId="0" xr:uid="{00000000-0006-0000-0100-000019000000}">
      <text>
        <r>
          <rPr>
            <sz val="11"/>
            <color theme="1"/>
            <rFont val="Calibri"/>
            <family val="2"/>
            <scheme val="minor"/>
          </rPr>
          <t>제외 요건의 근거 문구(짧게 인용)</t>
        </r>
      </text>
    </comment>
    <comment ref="Z1" authorId="0" shapeId="0" xr:uid="{00000000-0006-0000-0100-00001A000000}">
      <text>
        <r>
          <rPr>
            <sz val="11"/>
            <color theme="1"/>
            <rFont val="Calibri"/>
            <family val="2"/>
            <scheme val="minor"/>
          </rPr>
          <t>높음 / 중간 / 낮음</t>
        </r>
      </text>
    </comment>
    <comment ref="AA1" authorId="0" shapeId="0" xr:uid="{00000000-0006-0000-0100-00001B000000}">
      <text>
        <r>
          <rPr>
            <sz val="11"/>
            <color theme="1"/>
            <rFont val="Calibri"/>
            <family val="2"/>
            <scheme val="minor"/>
          </rPr>
          <t>판단이 애매한 이유 등</t>
        </r>
      </text>
    </comment>
    <comment ref="AB1" authorId="0" shapeId="0" xr:uid="{00000000-0006-0000-0100-00001C000000}">
      <text>
        <r>
          <rPr>
            <sz val="11"/>
            <color theme="1"/>
            <rFont val="Calibri"/>
            <family val="2"/>
            <scheme val="minor"/>
          </rPr>
          <t>부과_ 다섯 칸에서 계산</t>
        </r>
      </text>
    </comment>
    <comment ref="AC1" authorId="0" shapeId="0" xr:uid="{00000000-0006-0000-0100-00001D000000}">
      <text>
        <r>
          <rPr>
            <sz val="11"/>
            <color theme="1"/>
            <rFont val="Calibri"/>
            <family val="2"/>
            <scheme val="minor"/>
          </rPr>
          <t>없음 / 한 유형 / 복합</t>
        </r>
      </text>
    </comment>
    <comment ref="AD1" authorId="0" shapeId="0" xr:uid="{00000000-0006-0000-0100-00001E000000}">
      <text>
        <r>
          <rPr>
            <sz val="11"/>
            <color theme="1"/>
            <rFont val="Calibri"/>
            <family val="2"/>
            <scheme val="minor"/>
          </rPr>
          <t>제외_ 다섯 칸에서 계산</t>
        </r>
      </text>
    </comment>
    <comment ref="AE1" authorId="0" shapeId="0" xr:uid="{00000000-0006-0000-0100-00001F000000}">
      <text>
        <r>
          <rPr>
            <sz val="11"/>
            <color theme="1"/>
            <rFont val="Calibri"/>
            <family val="2"/>
            <scheme val="minor"/>
          </rPr>
          <t>없음 / 한 유형 / 복합</t>
        </r>
      </text>
    </comment>
    <comment ref="AF1" authorId="0" shapeId="0" xr:uid="{00000000-0006-0000-0100-000020000000}">
      <text>
        <r>
          <rPr>
            <sz val="11"/>
            <color theme="1"/>
            <rFont val="Calibri"/>
            <family val="2"/>
            <scheme val="minor"/>
          </rPr>
          <t>exclusion_location이 없음이 아니면 Y</t>
        </r>
      </text>
    </comment>
    <comment ref="AG1" authorId="0" shapeId="0" xr:uid="{00000000-0006-0000-0100-000021000000}">
      <text>
        <r>
          <rPr>
            <sz val="11"/>
            <color theme="1"/>
            <rFont val="Calibri"/>
            <family val="2"/>
            <scheme val="minor"/>
          </rPr>
          <t>부과_용도나 제외_용도가 Y면 Y</t>
        </r>
      </text>
    </comment>
  </commentList>
</comments>
</file>

<file path=xl/sharedStrings.xml><?xml version="1.0" encoding="utf-8"?>
<sst xmlns="http://schemas.openxmlformats.org/spreadsheetml/2006/main" count="973" uniqueCount="865">
  <si>
    <t>조사범위 문언 코딩 양식 — 두 번째 코더용</t>
  </si>
  <si>
    <t>이 양식은 무역구제 조사범위 분쟁 DB의 1단계 코딩을 두 번째 코더가 독립으로 하기 위한 것이다.</t>
  </si>
  <si>
    <t>'코딩' 시트에 조치 145개가 한 행씩 있다. 코딩 기준은 '코드북' 시트(data/coding/codebook.md와 같은 내용)이며, 5절의 결정까지 포함해 따른다.</t>
  </si>
  <si>
    <t>독립성: 첫 번째 코더의 값(data/coding/coder-a.csv)은 코딩이 끝날 때까지 열어 보지 않는다.</t>
  </si>
  <si>
    <t>칸의 색</t>
  </si>
  <si>
    <t>회색  문언(읽기 전용). 부령 본문과 별표에서 자동으로 뽑은 것이다. 본문 제외 문언에는 부과조건이 섞일 수 있으니 부과대상 조문과 함께 읽는다.</t>
  </si>
  <si>
    <t>노란색  코더가 채우는 칸. 목록에서 고르거나(Y, 본문/별표/둘다/없음, Y/N, 높음/중간/낮음) 숫자·문구를 적는다.</t>
  </si>
  <si>
    <t>파란색  수식으로 계산되는 칸. 고치지 않는다. 유형 목록, 요약 유형(없음/한 유형/복합), 제외 유무, 용도 여부가 여기서 나온다.</t>
  </si>
  <si>
    <t>빨간색  제외 위치를 '없음'이 아닌 값으로 두었는데 제외 유형이 하나도 없을 때 표시된다.</t>
  </si>
  <si>
    <t>채우는 순서</t>
  </si>
  <si>
    <t>1. 부과대상 물품 조문과 부과대상을 정한 별표를 읽고, 물품명과 기본 HSK 열거 말고 부과대상을 좁히는 조건의 유형에 Y를 넣는다(부과_ 다섯 칸).</t>
  </si>
  <si>
    <t>2. 본문 제외 문언과 제외 물품 별표를 읽고, 제외 요건의 유형에 Y를 넣는다(제외_ 다섯 칸). 공급자를 빼는 별표는 제외 요건이 아니다.</t>
  </si>
  <si>
    <t>3. exclusion_location, n_exclusion_items를 채운다.</t>
  </si>
  <si>
    <t>4. 첫 판 문언 칸이 채워져 있으면 범위의 내용이 바뀌었는지 보고 changed_across_versions를 고른다. 비어 있으면 N이다.</t>
  </si>
  <si>
    <t>5. 근거 문구, 확신도, 비고를 적는다.</t>
  </si>
  <si>
    <t>다 채운 뒤 파일 이름을 coder-b.xlsx로 바꾸어 data/coding/에 두면 scripts/20_compare_coders.py가 두 코더를 대조한다.</t>
  </si>
  <si>
    <t>예시 한 행 (값의 형식만 보여 주려는 가상의 예이며 '코딩' 시트의 어느 조치와도 무관하다)</t>
  </si>
  <si>
    <t>부과_규격</t>
  </si>
  <si>
    <t>부과_가공상태</t>
  </si>
  <si>
    <t>제외_가공상태</t>
  </si>
  <si>
    <t>제외_용도</t>
  </si>
  <si>
    <t>exclusion_location</t>
  </si>
  <si>
    <t>n_exclusion_items</t>
  </si>
  <si>
    <t>changed_across_versions</t>
  </si>
  <si>
    <t>evidence_positive</t>
  </si>
  <si>
    <t>evidence_exclusion</t>
  </si>
  <si>
    <t>confidence</t>
  </si>
  <si>
    <t>note</t>
  </si>
  <si>
    <t>Y</t>
  </si>
  <si>
    <t>별표</t>
  </si>
  <si>
    <t>N</t>
  </si>
  <si>
    <t>두께가 6밀리미터 이상인 것</t>
  </si>
  <si>
    <t>별표 1: 모터 절연용 흰색 필름 등</t>
  </si>
  <si>
    <t>중간</t>
  </si>
  <si>
    <t>별표 3호가 용도와 색을 함께 적어 두 유형으로 봄</t>
  </si>
  <si>
    <t>measure_id</t>
  </si>
  <si>
    <t>제명</t>
  </si>
  <si>
    <t>조치 시행일</t>
  </si>
  <si>
    <t>코딩 대상 판</t>
  </si>
  <si>
    <t>부과대상 물품 조문</t>
  </si>
  <si>
    <t>본문 제외 문언</t>
  </si>
  <si>
    <t>제외 물품 별표</t>
  </si>
  <si>
    <t>부과대상을 정한 별표</t>
  </si>
  <si>
    <t>첫 판 부과대상 조문</t>
  </si>
  <si>
    <t>첫 판 제외 별표</t>
  </si>
  <si>
    <t>부과_용도</t>
  </si>
  <si>
    <t>부과_분류</t>
  </si>
  <si>
    <t>부과_제품지정</t>
  </si>
  <si>
    <t>제외_규격</t>
  </si>
  <si>
    <t>제외_분류</t>
  </si>
  <si>
    <t>제외_제품지정</t>
  </si>
  <si>
    <t>scope_positive_types</t>
  </si>
  <si>
    <t>scope_positive_summary</t>
  </si>
  <si>
    <t>exclusion_types</t>
  </si>
  <si>
    <t>exclusion_summary</t>
  </si>
  <si>
    <t>exclusion_present</t>
  </si>
  <si>
    <t>use_based</t>
  </si>
  <si>
    <t>M001</t>
  </si>
  <si>
    <t>관세법제10조의규정에의한폴리아세탈수지에대한덤핑방지관세의부과에관한규정</t>
  </si>
  <si>
    <t>1991-09-30</t>
  </si>
  <si>
    <t>1991-09-30 제정</t>
  </si>
  <si>
    <t>제2조(부과대상 물품) ①덤핑방지관세가 부과되는 물품은 폴리아세탈수지(품목분류번호:3907.10.0000)중 중점도ㆍ저점도의 일반등급 및 비디오테이프ㆍ오디오테이프용 특수등급의 것으로 한다. ②제1항의 규정에 의한 중점도의 폴리아세탈수지는 용융지수 9이상 20미만의 것, 저점도의 폴리아세탈수지는 용융지수 20이상의 것, 비디오테이프ㆍ오디오테이프용 특수등급의 폴리아세탈수지는 저점도의 일반등급의 것에 대전방지제를 첨가하여 비디오테이프ㆍ오디오테이프에 사용하도록 특수처리된 것으로 한다. ③재무부장관은 제2항의 규정외에 폴리아세탈수지의 등급구분을 위하여 필요한 때에는 등급구분에 관한 세부사항을 정할 수 있다.</t>
  </si>
  <si>
    <t>M002</t>
  </si>
  <si>
    <t>관세법제10조의규정에의한정제인산에대한덤핑방지관세의부과에관한규정</t>
  </si>
  <si>
    <t>1993-02-20</t>
  </si>
  <si>
    <t>1993-02-20 제정</t>
  </si>
  <si>
    <t>제2조(부과대상물품) 덤핑방지관세가 부과되는 물품은 인산(관세율표 번호 : 2809.20.1000)중 정제된 것으로서 공업용 또는 식품용의 것으로 한다.</t>
  </si>
  <si>
    <t>M003</t>
  </si>
  <si>
    <t>관세법제10조의규정에의한볼베어링에대한덤핑방지관세의부과에관한규정</t>
  </si>
  <si>
    <t>1993-04-01</t>
  </si>
  <si>
    <t>1993-04-01 제정</t>
  </si>
  <si>
    <t>제2조(부과대상물품) 덤핑방지관세가 부과되는 물품은 국제 표준규격의 기본기호가 696ZZ인 볼베어링(관세율표 번호: 8482.10.0000)으로 한다.</t>
  </si>
  <si>
    <t>M004</t>
  </si>
  <si>
    <t>관세법제10조의규정에의한소다회에대한덤핑방지관세의부과에관한규정</t>
  </si>
  <si>
    <t>1993-12-31</t>
  </si>
  <si>
    <t>1993-12-31 제정</t>
  </si>
  <si>
    <t>제2조(부과대상물품) 덤핑방지관세가 부과되는 물품은 중화인민공화국산 소다회 (관세율표 번호 2836.20.0000)로 한다.</t>
  </si>
  <si>
    <t>M005</t>
  </si>
  <si>
    <t>관세법제10조의규정에의한인쇄제판용평면상사진플레이트에대한덤핑방지관세의부과에관한규정</t>
  </si>
  <si>
    <t>제2조(부과대상물품) 덤핑방지관세가 부과되는 물품은 일본산 인쇄제판용 평면상 사진플레이트(관세율표 번호: 3701.30.9100, 3701.91.9100, 3701.99.9100)로 하되, 두께 0.4밀리미터의 것을 제외한다.</t>
  </si>
  <si>
    <t>덤핑방지관세가 부과되는 물품은 일본산 인쇄제판용 평면상 사진플레이트(관세율표 번호: 3701.30.9100, 3701.91.9100, 3701.99.9100)로 하되, 두께 0.4밀리미터의 것을 제외한다.</t>
  </si>
  <si>
    <t>M006</t>
  </si>
  <si>
    <t>관세법제10조의규정에의한유리장섬유에대한덤핑방지관세의부과에관한규칙</t>
  </si>
  <si>
    <t>1994-08-09</t>
  </si>
  <si>
    <t>1996-02-29 전부개정</t>
  </si>
  <si>
    <t>제2조(부과대상물품) 덤핑방지관세가 부과되는 물품은 미국ㆍ일본 및 대만산으로서 그 조성이 이 글라스(E-glass)인 유리장섬유(관세율표번호 : 7019.11.0000, 7019.12.0000, 7019.19.0000, 7019.31.0000)중 별표에 규정된 것으로 한다.</t>
  </si>
  <si>
    <t>[별표] 덤핑방지관세율 국 가 품 목 생 산 자 덤핑방지관세율(%) 미 국 얀(G75/1/0) 다이렉트로빙 어셈블드로빙 (판넬용 제외) 촙트스트 랜드 ( 폴 리 아 세 탈 용, 안티글리 콜용 나이론 66규격 제외) 피피지 인더스트리스 인코퍼레이션 기타 생산자 오웬스코닝 화이버글라스 코퍼레이션 기타 생산자 피피지 인더스트리스 인코퍼레이션 오웬스코닝 화이버글라스 코퍼레이션 기타 생산자 피피지 인더스트리스 인코퍼레이션 오웬스코닝 화이버글라스 코퍼레이션 기타 생산자 15.6 15.6 37.4 37.4 30.6 19.7 20.8 10.3 12.4 11.7 일 본 얀(G75/1/0) 다이렉트로빙 어셈블드로빙 (판넬용 제외) 촙트스트 랜드 ( 폴 리 아 세 탈 용, 안티글리 콜용 나이론 66규격 및 글 라스화이버 페 이퍼 및 글라 스화이버 강화 미네랄페 이퍼 제조용 촙트스 트랜드 제외) 촙트스트 랜드 매트 니뽄 일렉트릭 글라스 컴패니 리미티드 기타생산자 니뽄 일렉트릭글라스 컴패니 리미티드 아사히 화이버글라스 컴패니 리미티드 기타생산자 니뽄 일렉트릭글라스 컴패니 리미티드 아사히 화이버글라스 컴패니 리미티드 니토보세키 컴패니 리미티드 니뽄 쉬트글라스 컴패니 리미티드 기타생산자 니뽄 일렉트릭글라스 컴패니 리미티드 아사히 화이버글라스 컴패니 리미티드 니토보세키 컴패니 리미티드 기타생산자 아사히 화이버글라스 컴패니 리미티드 기타생산자 27.5 27.5 41.4 58.7 57.0 24.8 40.0 26.2 32.6 29.6 57.5 44.9 57.0 51.2 48.8 48.8 대 만 촙트스트 랜드 ( 폴 리 아 세 탈 용, 안티글리 콜용 나이론 66규격 제외) 촙트스트 랜드 매트 타이완 글라스 인더스트리스 코퍼레이션 기타생산자 타이완 글라스 인더스트리스 코퍼레이션 기타생산자 38.2 38.2 39.5 39.5 주 1. 기타생산자라 함은 덤핑방지관세 부과대상물품의 생산자로서 위의 표에 규정 되지 아니한 생산자를 말한다. 2. 기타생산자와 위표와 같은 국가란 및 같은 품목란의 생산자 사이에 관세법시 행규칙 제4조제2항의 규정에 의한 특수관계가 있는 경우 기타생산자의 덤핑방 지관세율은 그 특수관계가 있는 생산자의 덤핑방지관세율을 적용한다.</t>
  </si>
  <si>
    <t>제2조(부과대상물품) 덤핑방지관세가 부과되는 물품은 미국ㆍ일본ㆍ대만에서 생산되고 그 조성이 E-glass인 유리장섬유(관세율표 번호 : 7019.10.0000, 7019.31.0000)로 한다.</t>
  </si>
  <si>
    <t>M007</t>
  </si>
  <si>
    <t>관세법제10조의규정에의한중국산정제인산에대한덤핑방지관세의부과에관한규칙</t>
  </si>
  <si>
    <t>1996-02-29</t>
  </si>
  <si>
    <t>1996-02-29 제정</t>
  </si>
  <si>
    <t>제2조(부과대상물품) 덤핑방지관세가 부과되는 물품은 중국산인산(관세율표번호 : 2809.20.1090)중 정제된 것으로서 별표에 규정된 것으로 한다.</t>
  </si>
  <si>
    <t>[별 표] 덤핑방지관세율 품 목 수 출 자 덤핑방지 관세율(%) 공 업 용 정제인산 케미 팜 컴패니 리미티드(Chemie Pharm Co.,Ltd) 산토 진롱 그룹 컴패니(Shanto jinlong Group Co.) 센 젠 통다 케미칼 코퍼레이션 (Shen Zhen Tongda Chemical Corp.) 윤난 프로빈셜 케미칼 아이 엔 이 코퍼레이션 (Yunnan Provincial Chemical I&amp;E Corp.) 시노켐 산동 코퍼레이션(Sinochem Shandong Corp.) 기타 수출자 57.55 47.03 42.96 55.87 18.66 55.44 식 품 용 정제인산 상하이 케미칼스 아이 엔 이 코퍼레이션 (Shanghai Chemicals I&amp;E Corp.) 기타 수출자 46.78 40.46 주 1. 기타 수출자라 함은 덤핑조사대상기간 종료일(1995.7.31, 수입신고일 기준) 후에 우리나라에 덤핑방지관세부과대상물품을 수출하였거나 수출하는 신규 수출자를 말한다. 2. 기타수출자와 위표의 같은 품목란의 수출자 사이에 관세법시행규칙 제4조제 2항의 규정에 의한 특수관계가 있는 경우 기타 수출자의 덤핑방지관세율은 그 특수관계가 있는 수출자의 덤핑방지관세율을 적용한다.</t>
  </si>
  <si>
    <t>M008</t>
  </si>
  <si>
    <t>관세법제10조의규정에의한미국산에탄올아민에대한덤핑방지관세부과에관한규칙</t>
  </si>
  <si>
    <t>1996-10-31</t>
  </si>
  <si>
    <t>1996-10-31 제정</t>
  </si>
  <si>
    <t>제2조(부과대상물품) 덤핑방지관세가 부과되는 물품은 미국산 에탄올아민(관세율표번호 : 2922.11.1000, 2922.12.1000, 2922.13.1000)으로한다.</t>
  </si>
  <si>
    <t>M009</t>
  </si>
  <si>
    <t>관세법제10조의규정에의한미국및중국산염화콜린에대한덤핑방지관세부과에관한규칙</t>
  </si>
  <si>
    <t>1996-12-03</t>
  </si>
  <si>
    <t>1996-12-03 제정</t>
  </si>
  <si>
    <t>제2조(부과대상물품 및 공급국) 덤핑방지관세가 부과되는 물품은 미국산 및 중국산 염화콜린(관세율표번호:2923.10.2000)으로 한다.</t>
  </si>
  <si>
    <t>M010</t>
  </si>
  <si>
    <t>관세법제10조의규정에의한인쇄제판용평면상사진플레이트에대한덤핑방지관세부과에관한규칙</t>
  </si>
  <si>
    <t>제2조(부과대상물품) 덤핑방지관세가 부과되는 물품은 일본산 인쇄제판용 평면상 사진플레이트(관세율표번호 : 3701.30.9100, 3701.91.9100, 3701.99.9100)로 하되, 두께 0.4밀리미터의 것 및 아사히 케미칼 인더스트리에서 생산하는 아사히 플렉소플레이트(관세율표번호: 3701.30.9100)는 부과대상에서 제외한다.</t>
  </si>
  <si>
    <t>덤핑방지관세가 부과되는 물품은 일본산 인쇄제판용 평면상 사진플레이트(관세율표번호 : 3701.30.9100, 3701.91.9100, 3701.99.9100)로 하되, 두께 0.4밀리미터의 것 및 아사히 케미칼 인더스트리에서 생산하는 아사히 플렉소플레이트(관세율표번호: 3701.30.9100)는 부과대상에서 제외한다.</t>
  </si>
  <si>
    <t>M011</t>
  </si>
  <si>
    <t>관세법제10조의규정에의한일본산및미국산리튬1차전지에대한덤핑방지관세부과에관한규칙</t>
  </si>
  <si>
    <t>1996-12-19</t>
  </si>
  <si>
    <t>1996-12-19 제정</t>
  </si>
  <si>
    <t>제2조(부과대상물품 및 공급국) 덤핑방지관세가 부과되는 물품은 일본산 및 미국산 리튬1차전지(관세율표번호 : 8506.50.0000)중 별표에서 규정하는 품목으로 한다.</t>
  </si>
  <si>
    <t>[별표] 덤핑방지관세율(제4조관련) 공급국 공 급 자 품 목 덤핑방지관세율(%) 일본 산요 일렉트릭 코퍼레이션 리미티드 CR123 21.52 CR-P2 34.13 2CR5 24.36 마쓰시다 일렉트릭 인더스트리얼 코퍼레이션 리미티드 CR123 7.89 CR-P2 45.67 2CR5 49.69 기타공급자 CR123 10.41 CR-P2 42.43 2CR5 42.10 미국 듀라셀 인코퍼레이션 DL123 10.88 DL223 19.86 DL245 5.25 기타공급자 DL123 10.88 DL223 19.86 DL245 5.25 주 1. 기타공급자라 함은 조사대상기간(1995. 1. 1 ~ 1995. 12. 31)동안 일본산 및 미국산 리튬1차전지중 조사대상물품을 공급한 자로서 조사대상공급자로 선정 되지 아니한 자 및 조사대상기간종료일 이후 우리나라에 부과대상물품을 공급 하였거나 공급하는 신규생산자를 말한다. 2. 기타공급자와 위표의 같은 품목란의 공급자 사이에 관세법 시행규칙 제4조제2 항의 규정에 의한 특수관계가 있는 경우 기타 공급자의 덤핑방지관세율은 그 특수관계가 있는 공급자의 덤핑 방지관세율을 적용한다. 3. 위표의 품목과 대체가능한 품목은 위표의 같은 품목의 덤핑 방지관세율을 적 용한다.</t>
  </si>
  <si>
    <t>M012</t>
  </si>
  <si>
    <t>관세법제10조의규정에의한불가리아산및러시아산소다회에대한덤핑방지관세부과에관한규칙</t>
  </si>
  <si>
    <t>1997-05-17</t>
  </si>
  <si>
    <t>1997-05-17 제정</t>
  </si>
  <si>
    <t>제2조(부과대상물품) 덤핑방지관세가 부과되는 물품은 불가리아산 및 러시아산 소다회(탄산이나트륨, 관세율표번호 : 2836.20.0000)로 한다.</t>
  </si>
  <si>
    <t>M013</t>
  </si>
  <si>
    <t>관세법제10조의규정에의한일본산·독일산·네덜란드산및중국산남성용전기면도기에대한덤핑방지관세부과에관한규칙</t>
  </si>
  <si>
    <t>제2조(부과대상물품) 덤핑방지관세가 부과되는 물품은 일본산ㆍ독일산ㆍ네덜란드산 및 중국산 남성용 전기면도기(관세율표번호: 8510.10.0000)로 한다.</t>
  </si>
  <si>
    <t>M014</t>
  </si>
  <si>
    <t>관세법제10조의규정에의한중국산소다회에대한덤핑방지관세부과에관한규칙</t>
  </si>
  <si>
    <t>제2조(부과대상물품) 덤핑방지관세가 부과되는 물품은 중국산 소다회(탄산이나트륨, 관세율표번호 : 2836.20.0000)로 한다.</t>
  </si>
  <si>
    <t>M015</t>
  </si>
  <si>
    <t>관세법제10조의규정에의한러시아산H형강에대한덤핑방지관세부과에관한규칙</t>
  </si>
  <si>
    <t>1997-08-02</t>
  </si>
  <si>
    <t>1997-08-02 제정</t>
  </si>
  <si>
    <t>제2조(부과대상물품) 덤핑방지관세가 부과되는 물품은 러시안산 H형강(관세율표번호:7216.33.1000, 7216.33.2000)으로 한다.</t>
  </si>
  <si>
    <t>M016</t>
  </si>
  <si>
    <t>관세법제51조의규정에의한중국산포켓형라이터에대한덤핑방지관세부과에관한규칙</t>
  </si>
  <si>
    <t>1997-11-08</t>
  </si>
  <si>
    <t>2002-03-14 일부개정</t>
  </si>
  <si>
    <t>제2조(부과대상물품) 덤핑방지관세가 부과되는 물품은 다음 각호의 물품으로 한다. 1. 중국산 일회용 포켓형 라이터(관세율표번호 : 9613.10.0000) 2. 중국산 충전용 포켓형 라이터(관세율표번호 : 9613.20.0000)중 일회용 포켓형 라이터에 가스주입구를 부착하거나 라이터돌을 교체할 수 있도록 변형한 라이터</t>
  </si>
  <si>
    <t>M017</t>
  </si>
  <si>
    <t>관세법제10조의규정에의한말레이지아산중질섬유판에대한덤핑방지관세부과에관한규칙</t>
  </si>
  <si>
    <t>1998-01-17</t>
  </si>
  <si>
    <t>1998-01-17 제정</t>
  </si>
  <si>
    <t>제2조(부과대상물품) 덤핑방지관세가 부과되는 물품은 말레이지아산중질섬유판(관세율표번호 : 4411.21.0000)으로 한다.</t>
  </si>
  <si>
    <t>M018</t>
  </si>
  <si>
    <t>관세법제10조의규정에의한독일산및영국산셀프복사지에대한덤핑방지관세부과에관한규칙</t>
  </si>
  <si>
    <t>1998-03-10</t>
  </si>
  <si>
    <t>1998-03-10 제정</t>
  </si>
  <si>
    <t>제2조(부과대상물품) 덤핑방지관세가 부과되는 물품은 독일산 및 영국산 셀프복사지(관세율번호 : 4809.20.1000, 4809.20.2000, 4816.20.1000, 4816.20.2000)로 한다.</t>
  </si>
  <si>
    <t>M019</t>
  </si>
  <si>
    <t>관세법제10조의규정에의한싱가폴·중국및프랑스산가정용전기다리미에대한덤핑방지관세부과에관한규칙</t>
  </si>
  <si>
    <t>1998-08-06</t>
  </si>
  <si>
    <t>1998-08-06 제정</t>
  </si>
  <si>
    <t>제0조(본문(조문 없음) 부과대상물품) 관세법 제10조의 규정에 의하여 싱가폴ㆍ중국 및 프랑스산 가정용 전기다리미(관세율표번호 : 8516.40.0000) 및 그 공급자에 대하여 별표의 덤핑방지관세율에 의한 덤핑방지관세를 부과한다.</t>
  </si>
  <si>
    <t>M020</t>
  </si>
  <si>
    <t>관세법제10조의규정에의한일본산폴리비닐알콜에대한덤핑방지관세부과에관한규칙</t>
  </si>
  <si>
    <t>1998-08-20</t>
  </si>
  <si>
    <t>1998-08-20 제정</t>
  </si>
  <si>
    <t>제0조(본문(조문 없음) 부과대상물품) 관세법 제10조의 규정에 의하여 다음 기호의 1에 해당하는 물품 및 그 공급자에 대하여 별표의 덤핑방지관세율에 의한 덤핑방지관세를 부과한다. 1. 일본산 폴리비닐알콜(관세율표번호:3905.30.0000)중 수용액 상태의 제품을 제외한 것으로서 점도 4∼9 cps, 검화도 77.0∼94.0㏖%의 제품군 또는 점도 18∼55 cps, 검화도 84.0∼99.9㏖%의 제품군의 범위에 속하는 폴리비닐알콜. 다만, 생산자중 구라레이의 PVA-117HI, PVA-117H, PVA-HC, 니폰고세의 EG-05, EG-20, EG-25, EG-30, EG-40, EG-50, 신네츠의 P-18, P-20, 덴카의 K-VG, CB-80, B-33, PC-100, 유니티가의 UV 규격은 이를 제외한다. 2. 일본산 공중합 폴리비닐알콜(관세율표번호 3905.30.0000, 3905.91.0000)중 수용액 상태의 제품을 제외한 것으로서 점도 4∼9cps, 검화도 77.0∼94.0㏖%의 제품군의 범위에 속하는 공중합 폴리비닐알콜</t>
  </si>
  <si>
    <t>1. 일본산 폴리비닐알콜(관세율표번호:3905.30.0000)중 수용액 상태의 제품을 제외한 것으로서 점도 4∼9 cps, 검화도 77.0∼94.0㏖%의 제품군 또는 점도 18∼55 cps, 검화도 84.0∼99.9㏖%의 제품군의 범위에 속하는 폴리비닐알콜. 다만, 생산자중 구라레이의 PVA-117HI, PVA-117H, PVA-HC, 니폰고세의 EG-05, EG-20, EG-25, EG-30, EG-40, EG-50, 신네츠의 P-18, P-20, 덴카의 K-VG, CB-80, B-33, PC-100, 유니티가의 UV 규격은 이를 제외한다. 2. 일본산 공중합 폴리비닐알콜(관세율표번호 3905.30.0000, 3905.91.0000)중 수용액 상태의 제품을 제외한 것으로서 점도 4∼9cps, 검화도 77.0∼94.0㏖%의 제품군의 범위에 속하는 공중합 폴리비닐알콜</t>
  </si>
  <si>
    <t>M021</t>
  </si>
  <si>
    <t>관세법제10조의규정에의한중국산페로실리코망간에대한덤핑방지관세부과에관한규칙</t>
  </si>
  <si>
    <t>1998-08-24</t>
  </si>
  <si>
    <t>1998-08-24 제정</t>
  </si>
  <si>
    <t>제0조(본문(조문 없음) 부과대상물품) 관세법 제10조의 규정에 의하여 중국산 페로실리코망간(관세율표번호:7202.30.0000)[탄소(C)성분함유량이 0.5퍼센트이하인 것을 제외한다] 및 그 공급자에 대하여 별표 1의 덤핑방지관세율에 의한 덤핑방지관세를 부과한다. 다만, 관세법 제10조제3항의 규정에 의한 가격수정에 관한 약속이 수락된 별표 2의 약속대상공급자에 대하여는 당해약속을 위반하는 경우에 한하여 덤핑방지관세를 부과한다.</t>
  </si>
  <si>
    <t>관세법 제10조의 규정에 의하여 중국산 페로실리코망간(관세율표번호:7202.30.0000)[탄소(C)성분함유량이 0.5퍼센트이하인 것을 제외한다] 및 그 공급자에 대하여 별표 1의 덤핑방지관세율에 의한 덤핑방지관세를 부과한다. 다만, 관세법 제10조제3항의 규정에 의한 가격수정에 관한 약속이 수락된 별표 2의 약속대상공급자에 대하여는 당해약속을 위반하는 경우에 한하여 덤핑방지관세를 부과한다.</t>
  </si>
  <si>
    <t>M022</t>
  </si>
  <si>
    <t>관세법제51조의규정에의한일본산인쇄제판용평면상사진플레이트에대한덤핑방지관세부과에관한규칙</t>
  </si>
  <si>
    <t>1999-01-07</t>
  </si>
  <si>
    <t>2002-03-14 전부개정</t>
  </si>
  <si>
    <t>제2조(부과대상물품) 덤핑방지관세가 부과되는 물품은 일본산 인쇄제판용평면상사진플레이트(관세율표번호 : 3701.30.9100)로 하되, 다음 각호의 1에 해당하는 것은 부과대상에서 제외한다. 1. 두께가 0.4밀리미터(mm)인 것 2. 플렉소그래픽인쇄기에 사용되는 플렉소플레이트(Flexo Plate) 3. 무습수플레이트(Waterless Plate)</t>
  </si>
  <si>
    <t>덤핑방지관세가 부과되는 물품은 일본산 인쇄제판용평면상사진플레이트(관세율표번호 : 3701.30.9100)로 하되, 다음 각호의 1에 해당하는 것은 부과대상에서 제외한다. 1. 두께가 0.4밀리미터(mm)인 것 2. 플렉소그래픽인쇄기에 사용되는 플렉소플레이트(Flexo Plate) 3. 무습수플레이트(Waterless Plate)</t>
  </si>
  <si>
    <t>제2조(부과대상물품) 덤핑방지관세가 부과되는 물품은 일본산 인쇄제판용평면상사진플레이트(관세율표번호:3701.30.9100)로 하되, 두께 0.4밀리미터(mm)의 것 및 아사히케미칼인더스트리(Asahi Chemical Industry Co., Ltd.)가 생산하는 아사히플렉소플레이트(Asahi Flexo Plate)는 부과대상에서 제외한다.</t>
  </si>
  <si>
    <t>M023</t>
  </si>
  <si>
    <t>관세법제10조의규정에의한미국·일본및대만산유리장섬유에대한덤핑방지관세부과에관한규칙</t>
  </si>
  <si>
    <t>1999-06-21</t>
  </si>
  <si>
    <t>1999-06-21 제정</t>
  </si>
  <si>
    <t>제2조(부과대상물품) 덤핑방지관세과 부과되는 물품은 미국ㆍ일본 및 대만산으로tj 그 조성이 이 글라스(E-glass)인 유리장섬유(관세율표번호 : 7019.11.0000, 7019.12.0000, 7019.19.0000, 7019.31.0000)중 별표에 규정된 것으로 한다.</t>
  </si>
  <si>
    <t>[별표] 덤핑방지관세율(제2조 및 제4조관련) 공급국 부과대상물품 공 급 자 덤핑방지관세율 미국 얀(G75 1/0) 피피지 인더스트리스 인코퍼레이션(PPG Industry Inc.) 및 동사의 제품을 수출하는 자 15.6% 기타 공급자 15.6% 다이렉트로빙 오웬스 코닝 화이버 글라스 코퍼레이션 (Owens Corning Fiver Glass Corp.) 및 동사 의 제품을 수출하는 자 27.1% 기타 공급자 27.1% 어셈블드로빙 (판넬용 제외) 피피지 인더스트리스 인코퍼레이션 (PPG Industry Inc.) 및 동사의 제품을 수출하는 자 11.4% 오웬스 코닝 화이버 글라스 코퍼레이션 (Owens Corning Fiver Glass Corp.) 및 동사 의 제품을 수출하는 자 11.8% 기타 공급자 11.7% 촙트스트랜드 (폴리아세탈용, 안티글리콜용 나일론 66규격 제외) 피피지 인더스트리스 인코퍼레이션 (PPG Industry Inc.) 및 동사의 제품을 수출하는 자 10.3% 오웬스 코닝 화이버 글라스 코퍼레이션 (Owens Corning Fiver Glass Corp.) 및 동사 의 제품을 수출하는 자 12.4% 기타 공급자 11.7% 일본 얀(G75 1/0) 니뽄 일렉트릭 글라스 컴패니 리미티드 (Nippon Electric Glass Co, Ltd.) 및 동사의 제품을 수출하는 자 27.5% 기타 공급자 27.5% 다이렉트로빙 니뽄 일렉트릭 글라스 컴패니 리미티드 (Nippon Electric Glass Co, Ltd.) 및 동사의 제품을 수출하는 자 27.0% 아사히 화이버 글라스 컴패니 리미티드(Ashai Fiber Glass Co, Ltd.) 및 동사의 제품을 수출 하는 자 26.4% 기타 공급자 26.5% 어셈블드로빙 (판넬용 제외) 니뽄 일렉트릭 글라스 컴패니 리미티드 (Nippon Electric Glass Co, Ltd.) 및 동사의 제품을 수출하는 자 11.6% 아사히 화이버 글라스 컴패니 리미티드(Ashai Fiber Glass Co, Ltd.) 및 동사의 제품 을 수출하는 자 11.1% 니토 보세키 컴패니 리미티드(Nitto Boseki Co, Ltd.) 및 동사의 제품을 수출하는 자 11.6% 니뽄 쉬트 글라스 컴패니 리미티드 (Nippon Sheet Glass Co, Ltd.) 및 동사의 제품을 수 출하는 자 11.4% 기타 공급자 11.5% 촙 트 스 트 랜 드 (폴리아세탈용, 안 티 글 리 콜 용 나일론 66규격 및 글라스화이 버 페이퍼 및 글라스 화이버 강화 미네랄페 이퍼 제조용 촙 트 스 트 랜 드 제외) 니뽄 일렉트릭 글라스 컴패니 리미티드 (Nippon Electric Glass Co, Ltd.) 및 동사의 제품을 수출하는 자 57.5% 아사히 화이버 글라스 컴패니 리미티드(Ashai Fiber Glass Co, Ltd.) 및 동사의 제품을 수출 하는 자 44.9% 니토 보세키 컴패니 리미티드 (Nitto Boseki Co, Ltd.) 및 동사의 제품을 수출하는 자 57.0% 기타 공급자 51.2% 촙트스트랜드 매트 아사히 화이버 글라스 컴패니 리미티드 (Ashai Fiber Glass Co, Ltd.) 및 동사의 제품 을 수출하는 자 28.5% 기타 공급자 28.5% 대만 얀(G75 1/0) 모든 공급자 26.4% 촙 트 스 트 랜 드 (폴리아세탈용, 안 티 글 리 콜 용 나일론 66규격 제외) 타이완 글라스 인더스트리스 코퍼레이션 (Taiwan Glass Ind., Co.) 및 동사의 제품을 수출하는 자 38.2% 기타 공급자 38.2% 촙 트 스 트 랜 드 매트 타이완 글라스 인더스트리스 코퍼레이션 (Taiwan Glass Ind., Co.) 및 동사의 제품을 수출하는 자 28.8% 기타 공급자 28.8% 주) 동일 공급국안에서 기타 공급자와 명시된 공급자간에 관세법시행령 제3조의7제1 항의 규정에 의한 특수관계가 있는 경우 기타 공급자의 덤핑방지관세율은 그 특 수관계가 있는 공급자의 덤핑방지관세율을 적용한다.</t>
  </si>
  <si>
    <t>M024</t>
  </si>
  <si>
    <t>관세법제10조의규정에의한중국및일본산알칼리망간건전지에대한덤핑방지관세부과에관한규칙</t>
  </si>
  <si>
    <t>2000-10-12</t>
  </si>
  <si>
    <t>2000-10-12 제정</t>
  </si>
  <si>
    <t>제2조(부과대상물품) 덤핑방지관세가 부과되는 물품은 중국 및 일본산 알칼리망간건전지(관세율표번호:8506.10.2000)로서 국제전기협회 (International Electrotechnical Commission)에서 정한 건전지규격의 LR03과 LR6에 해당하는 물품으로 한다.</t>
  </si>
  <si>
    <t>M025</t>
  </si>
  <si>
    <t>관세법제51조의규정에의한중국산소다회에대한덤핑방지관세부과에관한규칙</t>
  </si>
  <si>
    <t>2000-12-04</t>
  </si>
  <si>
    <t>2002-04-10 일부개정</t>
  </si>
  <si>
    <t>제2조(부과대상물품) 덤핑방지관세가 부과되는 물품은 중국산 소다회(탄산이나트륨, 관세율표번호2836.20.0000)로 한다. 다만, 순도가 99.8퍼센트 이상인 소다회는 제외한다. &lt;개정 2002. 4. 10.&gt;</t>
  </si>
  <si>
    <t>다만, 순도가 99.8퍼센트 이상인 소다회는 제외한다. &lt;개정 2002. 4. 10.&gt;</t>
  </si>
  <si>
    <t>제2조(부과대상물품) 덤핑방지관세가 부과되는 물품은 중국산 소다회(탄산이나트륨, 관세율표번호2836.20.0000)로 한다.</t>
  </si>
  <si>
    <t>M026</t>
  </si>
  <si>
    <t>관세법제51조의규정에의한독일산셀프복사지에대한덤핑방지관세부과에관한규칙</t>
  </si>
  <si>
    <t>2001-08-21</t>
  </si>
  <si>
    <t>2001-08-21 제정</t>
  </si>
  <si>
    <t>제2조(부과대상물품) 덤핑방지관세가 부과되는 물품은 독일산 셀프복사지(관세율표번호 : 4809.20.1000, 4809.20.2000, 4816.20.1000, 4816.20.2000)로 한다.</t>
  </si>
  <si>
    <t>M027</t>
  </si>
  <si>
    <t>관세법제51조의규정에의한대만산시디알에대한덤핑방지관세부과에관한규칙</t>
  </si>
  <si>
    <t>2002-05-21</t>
  </si>
  <si>
    <t>2002-05-21 제정</t>
  </si>
  <si>
    <t>제2조(부과대상물품) 덤핑방지관세가 부과되는 물품은 대만사 시디알(CD-R : Compact Disc Recordable, 관세율표번호 : 8523.90.0000)로 하되, 다음 각호의 1에 해당하는 것은 부과대상에서 제외한다. 1. 직경 12센티미터(㎝) 미만인 것 2. 시디알더블유(CD-RW : Compact Disc Re-Writable)</t>
  </si>
  <si>
    <t>덤핑방지관세가 부과되는 물품은 대만사 시디알(CD-R : Compact Disc Recordable, 관세율표번호 : 8523.90.0000)로 하되, 다음 각호의 1에 해당하는 것은 부과대상에서 제외한다. 1. 직경 12센티미터(㎝) 미만인 것 2. 시디알더블유(CD-RW : Compact Disc Re-Writable)</t>
  </si>
  <si>
    <t>M028</t>
  </si>
  <si>
    <t>관세법제51조의규정에의한러시아산에이치형강에대한덤핑방지관세부과에관한규칙</t>
  </si>
  <si>
    <t>2002-07-03</t>
  </si>
  <si>
    <t>2002-07-03 제정</t>
  </si>
  <si>
    <t>제2조(부과대상물품) 덤핑방지관세가 부과되는 물품은 러시아산 에이치(H)형강(관세율표번호 : 7216.33.1000, 7216.33.2000)으로 한다.</t>
  </si>
  <si>
    <t>M029</t>
  </si>
  <si>
    <t>관세법제51조의규정에의한중국산포켓형라이타에대한덤핑방지관세부과에관한규칙</t>
  </si>
  <si>
    <t>2003-05-23</t>
  </si>
  <si>
    <t>2003-05-23 제정</t>
  </si>
  <si>
    <t>제2조(부과대상물품) 덤핑방지관세가 부과되는 물품은 다음 각호의 물품으로 한다. 1. 중국산일회용포켓형라이타(관세율표번호 : 9613.10.0000) 2. 중국산충전용포켓형라이타(관세율표번호 : 9613.20.0000)로서 일회용 포켓형라이타에 가스주입구를 부착하거나 라이타돌을 교체할 수 있도록 변형한 것</t>
  </si>
  <si>
    <t>M030</t>
  </si>
  <si>
    <t>관세법제51조의규정에의한일본산수화알루미늄에대한덤핑방지관세부과에관한규칙</t>
  </si>
  <si>
    <t>2003-07-18</t>
  </si>
  <si>
    <t>2003-07-18 제정</t>
  </si>
  <si>
    <t>제2조(부과대상물품) 덤핑방지관세가 부과되는 물품은 일본산 수산화알루미늄(관세율표번호 : 2818.30.9000)으로 한다. 다만, 수분함유량이 4퍼센트 미만인 것을 제외한다.</t>
  </si>
  <si>
    <t>다만, 수분함유량이 4퍼센트 미만인 것을 제외한다.</t>
  </si>
  <si>
    <t>M031</t>
  </si>
  <si>
    <t>관세법제51조의규정에의한인도네시아산일회용포켓형라이타에대한덤핑방지관세부과에관한규칙</t>
  </si>
  <si>
    <t>2003-09-09</t>
  </si>
  <si>
    <t>2003-09-09 제정</t>
  </si>
  <si>
    <t>제2조(부과대상물품) 덤핑방지관세가 부과되는 물픔은 다음 각호의 물품으로 한다. 1. 인도네시아산 일회용 포켓형 라이타(관세율표번호 : 9613.10.0000) 2. 인도네시아산 충전용 포켓형 라이타(관세율표번호 : 9613.20.0000)로서 일회용 포켓형라이타에 가스주입구를 부착하거나 라이타돌을 교체할 수 있도록 변형한 것</t>
  </si>
  <si>
    <t>M032</t>
  </si>
  <si>
    <t>관세법제51조의규정에의한인도네시아·중국산정보용지및백상지에대한덤핑방지관세부과에관한규칙</t>
  </si>
  <si>
    <t>2003-11-07</t>
  </si>
  <si>
    <t>2003-11-07 제정</t>
  </si>
  <si>
    <t>제2조(부과대상물품) 덤핑방지관세가 부과되는 물품은 인도네시아ㆍ중국산 정보용지 및 백상지(관세율표번호 : 4802.55.1010, 4802.55.1090, 4802.55.9010, 4802.55.9090, 4802.56.1010, 4802.56.1090, 802.56.9010, 4802.56.9090, 4802.57.1010, 4802.57.1090, 4802.57.9010, 4802.57.9090, 4809.10.0000, 4809.90.9000, 4816.10.0000, 4816.90.9000)로서 1제곱미터당 중량이 40g 이상 150g 이하인 것으로 한다.</t>
  </si>
  <si>
    <t>M033</t>
  </si>
  <si>
    <t>관세법제51조의규정에의한싱가폴·중국및일본산알칼리망간건전지에대한덤핑방지관세부과에관한규칙</t>
  </si>
  <si>
    <t>2003-12-03</t>
  </si>
  <si>
    <t>2003-12-03 제정</t>
  </si>
  <si>
    <t>제2조(부과대상물품) 덤핑방지관세가 부과되는 물품은 싱가폴ㆍ중국 및 일본산 알칼리망간건전지(관세율표번호 : 8506.10.2000)로서 국제전기협회(International Elec trotechnical Commission)에서 정한 건전지규격의 LR03과 LR6에 해당하는 물품으로 한다.</t>
  </si>
  <si>
    <t>M034</t>
  </si>
  <si>
    <t>관세법제51조의규정에의한일본산폴리비닐알콜에대한덤핑방지관세부과에관한규칙</t>
  </si>
  <si>
    <t>제2조(부과대상물품) 덤핑방지관세가 부과되는 물품은 다음 각호의 물품으로 한다. 1. 일본산 폴리비닐알콜(관세율표번호 : 3905.30.0000)중 점도 4 내지 9 씨피에스(cps), 검화도 77.0 내지 94.0 몰퍼센트(mol%)의 제품군 또는 점도 18 내지 55 씨피에스(cps), 검화도 84.0 내지 99.9 몰퍼센트(mol%)의 제품군에 속하는 폴리비닐알콜. 다만, 수용액 상태의 제품 및 다음 각목에 해당하는 규격의 제품을 제외한다. 가. 생산자중 구라레이(Kuraray Co., Ltd.)의 PVA-117HI, PVA-117H, PVA-HC, K-polymer(KL-118, KL-318, KM-118, KM-618), C-polymer(C-506), R-polymer(R-1130, R-2130), M-polymer(M-115, M-215), EXCEVAL(RS-1113, RS-1117, RS-1713, RS-1717, RS-2113, RS-2117, RS-2817, RS-2617, RS-2713) 나. 생산자중 니폰고세(The Nippon Synthetic Chemical Industry Co., Ltd.)의 EG-05, EG-20, EG-25, EG-30, EG-40, EG-50 다. 생산자중 재팬 뱀 앤 포발(Japan Vam &amp; Poval Co., Ltd.)의 VP-18, VP-20, V 라. 생산자중 덴카(Denki Kagaku Kogyo Kabushili Kaisha)의 K-VG, CB-80, B-33, PC-100 2. 일본산 공중합 폴리비닐알콜(관세율표번호 : 3905.30.0000, 3905.91.0000)중 점도 4 내지 9 씨피에스(cps), 검화도 77.0 내지 94.0 몰퍼센트(mol%)의 제품군의 범위에 속하는 공중합 폴리비닐알콜. 다만, 수용액 상태의 제품을 제외한다.</t>
  </si>
  <si>
    <t>다만, 수용액 상태의 제품 및 다음 각목에 해당하는 규격의 제품을 제외한다. 가. 생산자중 구라레이(Kuraray Co., Ltd.)의 PVA-117HI, PVA-117H, PVA-HC, K-polymer(KL-118, KL-318, KM-118, KM-618), C-polymer(C-506), R-polymer(R-1130, R-2130), M-polymer(M-115, M-215), EXCEVAL(RS-1113, RS-1117, RS-1713, RS-1717, RS-2113, RS-2117, RS-2817, RS-2617, RS-2713) 나. 생산자중 니폰고세(The Nippon Synthetic Chemical Industry Co., Ltd.)의 EG-05, EG-20, EG-25, EG-30, EG-40, EG-50 다. 생산자중 재팬 뱀 앤 포발(Japan Vam &amp; Poval Co., Ltd.)의 VP-18, VP-20, V 라. 생산자중 덴카(Denki Kagaku Kogyo Kabushili Kaisha)의 K-VG, CB-80, B-33, PC-100 2. 일본산 공중합 폴리비닐알콜(관세율표번호 : 3905.30.0000, 3905.91.0000)중 점도 4 내지 9 씨피에스(cps), 검화도 77.0 내지 94.0 몰퍼센트(mol%)의 제품군의 범위에 속하는 공중합 폴리비닐알콜. 다만, 수용액 상태의 제품을 제외한다.</t>
  </si>
  <si>
    <t>M035</t>
  </si>
  <si>
    <t>관세법제51조의규정에의한중국산페로실리코망간에대한덤핑방지관세부과에관한규칙</t>
  </si>
  <si>
    <t>제2조(부과대상물품) 덤핑방지관세가 부과되는 물품은 중국산 페로실리코망간(관세율표번호 : 7202.30.0000)으로 한다. 다만, 탄소(C) 함유량이 0.5퍼센트 이하인 것을 제외한다.</t>
  </si>
  <si>
    <t>다만, 탄소(C) 함유량이 0.5퍼센트 이하인 것을 제외한다.</t>
  </si>
  <si>
    <t>M036</t>
  </si>
  <si>
    <t>관세법제51조의규정에의한중국산차아황산소다에대한덤핑방지관세부과에관한규칙</t>
  </si>
  <si>
    <t>2004-06-23</t>
  </si>
  <si>
    <t>2004-06-23 제정</t>
  </si>
  <si>
    <t>제2조(부과대상물품) 덤핑방지관세가 부과되는 물품은 중국산 차아황산소다(관세율표번호 : 2831.10.1000)로 한다.</t>
  </si>
  <si>
    <t>M037</t>
  </si>
  <si>
    <t>관세법 제51조의 규정에 의한 일본·인도 및 스페인산 스테인레스 스틸바에 대한 덤핑방지관세부과에 관한 규칙</t>
  </si>
  <si>
    <t>2004-07-30</t>
  </si>
  <si>
    <t>2007-10-29 일부개정</t>
  </si>
  <si>
    <t>제2조(부과대상물품) 덤핑방지관세가 부과되는 물품은 일본ㆍ인도 및 스페인산 스테인레스스틸바(관세율표번호 : 7222.11.0000, 7222.19.0000, 7222.20.0000, 7222.30.0000)중 다음 각호의 1에 해당하는 것으로 한다. 다만, 별표에 규정된 제품을 제외한다. &lt;개정 2007. 10. 29.&gt; 1. 중공(中空)이 없는 원형강(Round Bar) : 지름이 600㎜ 이하인 것 2. 각강(Square Bar) : 대변거리가 4.5 ∼ 55㎜인 것 3. 육각강(Hexagonal Bar) : 대변거리가 5 ∼ 55㎜인 것 4. 평강(Flat Bar)중 다음 각목의 1에 해당하는 것 가. 두께가 3 ∼ 13㎜이고 너비가 15 ∼ 100㎜인 것 나. 두께가 13 ∼ 25㎜이고 너비가 15 ∼ 150㎜인 것 다. 두께가 25 ∼ 150㎜이고 너비가 150 ∼ 600㎜인 것</t>
  </si>
  <si>
    <t>다만, 별표에 규정된 제품을 제외한다. &lt;개정 2007. 10. 29.&gt; 1. 중공(中空)이 없는 원형강(Round Bar) : 지름이 600㎜ 이하인 것 2. 각강(Square Bar) : 대변거리가 4.5 ∼ 55㎜인 것 3. 육각강(Hexagonal Bar) : 대변거리가 5 ∼ 55㎜인 것 4. 평강(Flat Bar)중 다음 각목의 1에 해당하는 것 가. 두께가 3 ∼ 13㎜이고 너비가 15 ∼ 100㎜인 것 나. 두께가 13 ∼ 25㎜이고 너비가 15 ∼ 150㎜인 것 다. 두께가 25 ∼ 150㎜이고 너비가 150 ∼ 600㎜인 것</t>
  </si>
  <si>
    <t>[별 표] 덤핑방지관세 부과대상에서 제외되는 물품(제2조 단서관련) 1. 내열강 JIS의 SUH1/1HT, SUH3/3HT, SUH11/11HT, SUH35, 21-2N, 21- 12N(SUH37), 23-8N, 21-4NNbW 규격 2. 니켈합금강 및 전자스테인레스강 3. LNG선박건조용 스테인레스스틸 플랫바(SUS304)로서 규격[두께(㎜)×폭(㎜) ×길이(㎜)]이 8×40×6000, 12×55×6000, 12×110×6000, 12×120×6000, 16×55×6000에 해당하는 것과 LNG선박건조용 스테인레스스틸 플랫바(SUS 304L)로서 규격[두께(㎜)×폭(㎜)×길이(㎜)]이 8×100×6000인 것 4. 합성섬유방사용 노즐용의 것으로서 SUS-630KN(HRC34-38) 원형강(￠30 --￠600) 및 SUS-630KN(HRC35-40) 사각강 5. 다음 각목의 1에 해당하는 것 가. 관이음쇠 및 유압용 육각강(SUS316)중 그 경도가 HRC 21∼23이고, 허 용공차가 H11이며, 대변거리가 5∼55㎜에 해당하는 것[구체적으로 대변 거리(단위 : ㎜)가 7.9, 9.5, 11.1, 12.0, 12.7, 14.0, 14.2, 15.0, 15.8, 16.0, 17.0, 17.4, 18.0, 19.1, 20.6, 22.0, 22.2, 23.8, 24.0, 25.0, 25.4, 26.9, 28.5, 30.0, 31.7, 32.0, 33.3, 34.9, 36.0, 38.1, 41.0, 44.4, 46.0, 47.6, 50.0, 54.0, 55.0인 것을 말한다] 나. 스테인레스스틸 원형강(SUS316)중 그 경도가 HRC 24∼28이고, 허용공 차가 H9이며, 지름이 6∼50.8㎜에 해당하는 것[구체적으로 지름(단위 : ㎜)이 6.0, 10.0, 12.0, 13.0, 14.0, 16.0, 18.0, 20.0, 23.0, 26.0, 29.0, 30.0, 32.0, 35.0, 40.0, 42.0, 50.8인 것을 말한다] 6. 가솔린 자동차용 연료펌프모타 샤프트(Shaft)용 원형강(SUS440C)으로서 지 름 5.1㎜, 길이 2,000㎜, 직경공차 ±0.02㎜ 이내, 진직도 ±0.018㎜ 이내, 진 원도 0.012㎜ 이내, 표면거칠기 3.2z 이내 및 표면경도 HRB96(Max)인 것 7. 자동차 연료조절기밸브용 원형강(SUS402F)으로서 규격[두께(㎜)×길이(㎜)] 이 7.1(＋0.05/－0)×2,500(＋30/－0) 또는 11.5(＋0.05/－0)×2,500(＋30/ －0)인 것 8. 자동차 및 유공압 솔레노이드밸브용 쾌삭스테인레스스틸바 원형강(ASK3200) 으로서 지름이 8㎜ 이하인 것 9. 전자부품가공용 쾌삭스테인레스스틸바 원형강(ASK3000U)으로서 지름이 1∼4㎜ 이하인 것</t>
  </si>
  <si>
    <t>제2조(부과대상물품) 덤핑방지관세가 부과되는 물품은 일본ㆍ인도 및 스페인산 스테인레스스틸바(관세율표번호 : 7222.11.0000, 7222.19.0000, 7222.20.0000, 7222.30.0000, 7222.40.0000)중 다음 각호의 1에 해당하는 것으로 한다. 다만, 별표에 규정된 제품을 제외한다. 1. 중공(中空)이 없는 원형강(Round Bar) : 지름이 600㎜ 이하인 것 2. 각강(Square Bar) : 대변거리가 4.5 ∼ 55㎜인 것 3. 육각강(Hexagonal Bar) : 대변거리가 5 ∼ 55㎜인 것 4. 평강(Flat Bar)중 다음 각목의 1에 해당하는 것 가. 두께가 3 ∼ 13㎜이고 너비가 15 ∼ 100㎜인 것 나. 두께가 13 ∼ 25㎜이고 너비가 15 ∼ 150㎜인 것 다. 두께가 25 ∼ 150㎜이고 너비가 150 ∼ 600㎜인 것 5. ㄱ형강(Angle Bar) : 두께가 3 ∼ 10㎜이고 너비가 20 ∼ 100㎜인 것</t>
  </si>
  <si>
    <t>[별표] 덤핑방지관세 부과대상에서 제외되는 물품(제2조 단서관련) 1. 내열강 JIS의 SUH1/1HT, SUH3/3HT, SUH11/11HT, SUH35, 21-2N, 21-12N (SUH37), 23-8N, 21-4NNbW 규격 2. 니켈합금강 및 전자스테인레스강 3. LNG선박건조용 스테인레스스틸 플랫바(SUS304)로서 규격[두께(㎜)×폭(㎜)× 길이(㎜)]이 8×40×6000, 12×55×6000, 12×110×6000, 12×120×6000, 16×55×6000에 해당하는 것과 LNG선박건조용 스테인레스스틸 플랫바 (SUS304L)로서 규격[두께(㎜)×폭(㎜)×길이(㎜)]이 8×100×6000인 것 4. 합성섬유방사용 노즐용의 것으로서 SUS-630KN(HRC34-38) 원형강(￠30-- ￠600) 및 SUS-630KN(HRC35-40) 사각강 5. 다음 각목의 1에 해당하는 것 가. 관이음쇠 및 유압용 육각강(SUS316)중 그 경도가 HRC 21 ∼ 23이고, 허용 공차가 H11이며, 대변거리가 5 ∼ 55㎜에 해당하는 것[구체적으로 대변거 리(단위 : ㎜)가 7.9, 9.5, 11.1, 12.0, 12.7, 14.0, 14.2, 15.0, 15.8, 16.0, 17.0, 17.4, 18.0, 19.1, 20.6, 22.0, 22.2, 23.8, 24.0, 25.0, 25.4, 26.9, 28.5, 30.0, 31.7, 32.0, 33.3, 34.9, 36.0, 38.1, 41.0, 44.4, 46.0, 47.6, 50.0, 54.0, 55.0인 것을 말한다] 나. 스테인레스스틸 원형강(SUS316)중 그 경도가 HRC 24 ∼ 28이고, 허용공차 가 H9이며, 지름이 6 ∼ 50.8㎜에 해당하는 것[구체적으로 지름(단위 : ㎜) 이 6.0, 10.0, 12.0, 13.0, 14.0, 16.0, 18.0, 20.0, 23.0, 26.0, 29.0, 30.0, 32.0, 35.0, 40.0, 42.0, 50.8인 것을 말한다] 6. 가솔린 자동차용 연료펌프모타 샤프트(Shaft)용 원형강(SUS440C)으로서 지름 5.1㎜, 길이 2,000㎜, 직경공차 ±0.02㎜ 이내, 진직도 ±0.018㎜ 이내, 진원도 0.012㎜ 이내, 표면거칠기 3.2z 이내 및 표면경도 HRB96(Max)인 것 7. 자동차 연료조절기밸브용 원형강(SUS402F)으로서 규격[두께(㎜)×길이(㎜)]이 7.1(＋0.05/－0)×2,500(＋30/－0) 또는 11.5(＋0.05/－0)×2,500(＋30/－0)인 것 8. 자동차 및 유공압 솔레노이드밸브용 쾌삭스테인레스스틸바 원형강(ASK3200) 으로서 지름이 8㎜ 이하인 것 9. 전자부품가공용 쾌삭스테인레스스틸바 원형강(ASK3000U)으로서 지름이 1 ∼ 4㎜이하인 것</t>
  </si>
  <si>
    <t>M038</t>
  </si>
  <si>
    <t>관세법제51조의규정에의한일본및미국산리튬1차전지에대한덤핑방지관세부과에관한규칙</t>
  </si>
  <si>
    <t>2004-07-30 제정</t>
  </si>
  <si>
    <t>제2조(부과대상물품) 덤핑방지관세가 부과되는 물품은 일본 및 미국산 리튬1차전지(관세율표번호 : 8506.50.0000)로서 IEC(International Electrotechnical Commission)에서 규정하는 CR규격의 제품중 CR123A(CR17345), 2CR5(2CP3845), CRP2(2CP4036) 및 CR-2(CR16270)로 한다.</t>
  </si>
  <si>
    <t>M039</t>
  </si>
  <si>
    <t>관세법제51조의규정에의한미국·인도·중국및캐나다산염화콜린에대한덤핑방지관세부과에관한규칙</t>
  </si>
  <si>
    <t>2004-10-20</t>
  </si>
  <si>
    <t>2004-10-20 제정</t>
  </si>
  <si>
    <t>제2조(부과대상물품) 덤핑방지관세가 부과되는 물품은 미국ㆍ인도ㆍ중국 및 캐나다산 염화콜린(관세율표번호 : 2309.90.2099중 콜린의 염, 2309.90.3020중 콜린의 염, 2309.90.9000중 콜린의 염, 2923.10.2000)으로 한다.</t>
  </si>
  <si>
    <t>M040</t>
  </si>
  <si>
    <t>관세법 제51조의 규정에 의한 중국산 아나타제형 이산화티타늄에 대한 덤핑방지관세의 부과에 관한 규칙</t>
  </si>
  <si>
    <t>2005-03-02</t>
  </si>
  <si>
    <t>2005-03-02 제정</t>
  </si>
  <si>
    <t>제2조(부과대상물품) 덤핑방지관세가 부과되는 물품은 중국산 아나타제형 이산화티타늄(관세율표번호 : 2823.00.1000, 2823.00.9000)으로서 화학식이 TiO2인 아나타제형 이산화티타늄(섬유용을 제외한다)으로 한다.</t>
  </si>
  <si>
    <t>덤핑방지관세가 부과되는 물품은 중국산 아나타제형 이산화티타늄(관세율표번호 : 2823.00.1000, 2823.00.9000)으로서 화학식이 TiO2인 아나타제형 이산화티타늄(섬유용을 제외한다)으로 한다.</t>
  </si>
  <si>
    <t>M041</t>
  </si>
  <si>
    <t>관세법 제51조의 규정에 의한 일본산 염화비닐중합체우판(PVC Plate)에 대한 덤핑방지관세의 부과에 관한 규칙</t>
  </si>
  <si>
    <t>2005-04-20</t>
  </si>
  <si>
    <t>2005-04-20 제정</t>
  </si>
  <si>
    <t>제2조(부과대상물품) 덤핑방지관세가 부과되는 물품은 일본산 염화비닐중합체후판(관세율표번호 : 3917.39.2000, 3917.39.9000, 3919.90.0000, 3920.49.0000, 3921.12.0000, 3921.90.4010, 3921.90.4020중 반도체ㆍLCD 및 PDP 제조설비의 골격ㆍ외형 등의 주재료용으로 사용되는 염화비닐중합체후판을 말한다)으로 하되, 제조공정방식이 압출방식에 의한 제품과 난연제품(FM규격)을 제외한다.</t>
  </si>
  <si>
    <t>덤핑방지관세가 부과되는 물품은 일본산 염화비닐중합체후판(관세율표번호 : 3917.39.2000, 3917.39.9000, 3919.90.0000, 3920.49.0000, 3921.12.0000, 3921.90.4010, 3921.90.4020중 반도체ㆍLCD 및 PDP 제조설비의 골격ㆍ외형 등의 주재료용으로 사용되는 염화비닐중합체후판을 말한다)으로 하되, 제조공정방식이 압출방식에 의한 제품과 난연제품(FM규격)을 제외한다.</t>
  </si>
  <si>
    <t>M042</t>
  </si>
  <si>
    <t>관세법 제51조의 규정에 따른 일본산 6축 수직다관절형 산업용 로봇에 대한 덤핑방지관세의 부과에 관한 규칙</t>
  </si>
  <si>
    <t>2005-09-16</t>
  </si>
  <si>
    <t>2005-09-16 제정</t>
  </si>
  <si>
    <t>제2조(부과대상물품) ①덤핑방지관세가 부과되는 물품은 일본산 산업용 로봇(관세율표번호 : 8479.50.9000, 8515.21.1010, 8515.21.2010, 8515.21.9010, 8515.31.1010, 8515.31.9010)으로서 다음 각 호의 요건을 모두 갖춘 것으로 한다. 다만, 별표1에 규정된 제품을 제외한다. 1. 6축 수직다관절의 구조를 가진 산업용 로봇일 것 2. 주로 자동차산업 분야의 점용접(spot welding)작업, 운반ㆍ조정(handling)작업에 사용되는 산업용 로봇일 것 3. 운반할 수 있는 중량이 120킬로그램에서 210킬로그램까지인 범용산업용 로봇일 것 ②제1항의 규정을 적용함에 있어서 로봇 구성품은 로봇 본체, 제어장치, 조정기 및 전원케이블로 한정한다.</t>
  </si>
  <si>
    <t>다만, 별표1에 규정된 제품을 제외한다. 1. 6축 수직다관절의 구조를 가진 산업용 로봇일 것 2. 주로 자동차산업 분야의 점용접(spot welding)작업, 운반ㆍ조정(handling)작업에 사용되는 산업용 로봇일 것 3. 운반할 수 있는 중량이 120킬로그램에서 210킬로그램까지인 범용산업용 로봇일 것 ②제1항의 규정을 적용함에 있어서 로봇 구성품은 로봇 본체, 제어장치, 조정기 및 전원케이블로 한정한다.</t>
  </si>
  <si>
    <t>[별표 1] 덤핑방지관세 부과대상 제외물품(제2조관련) 1. 긴 팔(Long Arm)형 로봇 가. 정의 표준형 로봇에 비하여 긴 팔(Long Arm)을 장착하여 먼 곳의 작업물을 대상으로 작업을 하는 로봇으로서 최대 동작범위가 2천800백밀리미터 이상인 팔(Arm)을 가지고 있는 바닥설치형 로봇 나. 모델명 ZX130L?ZX165L?ZX200L(이상 가와사키중공업주식회사 제품), SH166L?SH200L (이상 주식회사 나찌 제품), UP130L?UP165L?UP200L(이상 주식회사 야스카와전기 제품), R-2000iA/125L(화낙주식회사 제품) 등으로 가목의 정의에 해당하는 것 2. 고밀도형 로봇 가. 정의 좁은 공간에서 작업하기 위하여 개발된 로봇으로서 높이가 1천 4백 5십밀리미터 이하이고 최대 동작범위가 1천 4백 5십밀리미터 이하인 로봇 나. 모델명 UB150(가와사키중공업주식회사 제품), SG160R·SG160P(이상 주식회사 나찌 제품), UP120E·UP165E(이상 주식회사 야스카와전기 제품), R-2000iA/165CF(화낙주식회사 제품)등으로 가목의 정의에 해당하는 것 3. 클린룸용 로봇 가. 정의 로봇 자체에 방진대책을 갖추어 깨끗한 환경을 요구하는 반도체 공장· 정밀전자부품공장 등에서 사용되는 로봇 나. 모델명 FC06N·FC10N·FC20N·FC30N·FC45N·FC60L(이상 가와사키중공업주식회사 제품), SH133C·SH166C(이상 주식회사 나찌 제품), CRJ·CR3X·CR20·CR50·CR130·CSL10·CSL15(이상 주식회사 야스카와 전기제품), M-6iB/6C·LR Mate 200iB/5C(화낙주식회사 제품)등으로 가목의 정의에 해당하는 것 4. 프레스간 및 공작기계 핸들링 로봇 가. 정의 (1) 프레스간 핸들링 로봇 작업물을 프레스장비에 적재하여 반복적 작업을 수행하는 로봇으로서 다음의 어느 하나에 해당하는 로봇 (가) 바닥이나 천장에 설치하여 적재작업을 반복적으로 수행할수 있도록 선회축(1축)을 2중으로 설치한 것 (나) 표준형 팔(Arm)보다 긴 팔(바닥설치형은 행동반경이 3천밀리미터 이상, 선반설치형은 행동반경이 3천 2백밀리미터 이상인 것을 말한다)을 가지고 있고, 분당처리속도가 10에스피엠(Sheet per minute) 이상인 것 (2) 공작기계 핸들링 로봇 수치제어(NC) 선반 등의 공작기계 자동화를 지원하기 위하여 피가공물 또는 작업물을 가공장비로 적재 또는 탈착하기 위한 작업을 반복적으로 수행할 수 있도록 특수하게 설계·개발되어 상부레일(Overhead Rail)에 설치되어 사용되는 것 나. 모델명 SC120LF(주식회사 나찌 제품), NY170LⅡ·SK506X·SR200X·EPH4000(이상 주식회사 야스카와전기 제품),S-900iB/200, R-2000iA/200T(이상 화낙주식회사 제품) 등으로 가목의 정의에 해당하는 것</t>
  </si>
  <si>
    <t>M043</t>
  </si>
  <si>
    <t>중국산 도자기질 타일에 대한 덤핑방지관세의 부과에 관한 규칙</t>
  </si>
  <si>
    <t>2006-05-30</t>
  </si>
  <si>
    <t>2008-12-23 일부개정</t>
  </si>
  <si>
    <t>제2조(부과대상물품) 덤핑방지관세가 부과되는 물품은 중국산 도자기질 타일(관세율표번호 : 6907.90.1000, 6907.90.9000, 6908.90.1000, 6908.90.9000, 6901.00.3000)로서 가로 및 세로의 길이가 70밀리미터 이상 1천 3백밀리미터 이하인 사각형태의 것을 말한다.</t>
  </si>
  <si>
    <t>M044</t>
  </si>
  <si>
    <t>관세법 제51조에 따른 중국·대만 및 말레이시아산 폴리에스테르 장섬유 연신가공사에 대한 덤핑방지관세의 부과에 관한 규칙</t>
  </si>
  <si>
    <t>2006-10-20</t>
  </si>
  <si>
    <t>2006-10-20 제정</t>
  </si>
  <si>
    <t>제2조(부과대상물품) 덤핑방지관세가 부과되는 물품은 중국ㆍ대만 및 말레이시아산 폴리에스테르 장섬유 연신가공사(Polyester Filament Draw Textured Yarn, 관세율표번호 : 5402.33.0000)로 한다. 다만, 다음 각 호의 어느 하나에 해당하는 물품을 제외한다. 1. 폴리에스테르를 나이론 등 다른 섬유와 복합방사한 물품 2. 폴리에스테르 장섬유 연신가공사를 종류가 다른 원사와 공기(空氣)로 접착시킨 물품</t>
  </si>
  <si>
    <t>다만, 다음 각 호의 어느 하나에 해당하는 물품을 제외한다. 1. 폴리에스테르를 나이론 등 다른 섬유와 복합방사한 물품 2. 폴리에스테르 장섬유 연신가공사를 종류가 다른 원사와 공기(空氣)로 접착시킨 물품</t>
  </si>
  <si>
    <t>M045</t>
  </si>
  <si>
    <t>관세법 제51조에 따른 일본산 자동가이드홀펀칭기에 대한 덤핑방지관세의 부과에 관한 규칙</t>
  </si>
  <si>
    <t>2006-11-23</t>
  </si>
  <si>
    <t>2006-11-23 제정</t>
  </si>
  <si>
    <t>제2조(부과대상물품) 덤핑방지관세가 부과되는 물품은 일본산 자동가이드홀펀칭기(관세율표번호 : 8462.41.1000, 8462.49.1000)로서 전하결합소자형 카메라(Charge-coupled Device Camera : CCD Camera)를 장착하고 천공장치를 이용하여 연성인쇄회로기판의 가이드홀(Guide Hole)이나 휴대전화기 키패드(Keypad)용 필름의 가이드홀을 수치제어방식에 의하여 자동으로 천공하는 것으로 한다. 다만, 롤 형태로 감겨져 있는 연성인쇄회로기판 또는 휴대전화기 키패드용 필름을 천공하는 것을 제외한다.</t>
  </si>
  <si>
    <t>다만, 롤 형태로 감겨져 있는 연성인쇄회로기판 또는 휴대전화기 키패드용 필름을 천공하는 것을 제외한다.</t>
  </si>
  <si>
    <t>M046</t>
  </si>
  <si>
    <t>관세법 제51조에 따른 중국·싱가포르 및 미국산 폴리비닐알코올에 대한 덤핑방지관세의 부과에 관한 규칙</t>
  </si>
  <si>
    <t>2006-12-12</t>
  </si>
  <si>
    <t>2006-12-12 제정</t>
  </si>
  <si>
    <t>제2조(부과대상물품) 덤핑방지관세가 부과되는 물품은 중국ㆍ싱가포르 및 미국산 폴리비닐알코올(관세율표번호 : 3905.30.0000, 3905.91.0000)로 한다. 다만, 다음 각 호의 어느 하나에 해당하는 폴리비닐알코올을 제외한다. 1. 수용액 상태의 폴리비닐알코올 2. 검화도(치齒 化度)가 99.5몰퍼센트(mol%) 이상이고, 점도(粘度)가 60시피에스(cps) 내지 80시피에스(cps)이며, 중합도(重合度)가 2천600이상인 폴리비닐알코올</t>
  </si>
  <si>
    <t>다만, 다음 각 호의 어느 하나에 해당하는 폴리비닐알코올을 제외한다. 1. 수용액 상태의 폴리비닐알코올 2. 검화도(치齒 化度)가 99.5몰퍼센트(mol%) 이상이고, 점도(粘度)가 60시피에스(cps) 내지 80시피에스(cps)이며, 중합도(重合度)가 2천600이상인 폴리비닐알코올</t>
  </si>
  <si>
    <t>M047</t>
  </si>
  <si>
    <t>관세법 제51조에 따른 인도네시아 및 중국산 백상지에 대한 덤핑방지관세 부과에 관한 규칙</t>
  </si>
  <si>
    <t>2007-06-01</t>
  </si>
  <si>
    <t>2007-06-01 제정</t>
  </si>
  <si>
    <t>제2조(부과대상물품) 덤핑방지관세가 부과되는 물품은 인도네시아 및 중국산 백상지(관세율표번호 : 4802.55.1010, 4802.55.1090, 4802.55.9010, 4802.55.9090, 4802.56.1010, 4802.56.1090, 4802.56.9010, 4802.56.9090, 4802.57.1010, 4802.57.1090, 4802.57.9010, 4802.57.9090)로서 1제곱미터당 중량이 40그램 이상 150그램 이하인 것으로 한다.</t>
  </si>
  <si>
    <t>M048</t>
  </si>
  <si>
    <t>관세법 제51조에 따른 중국산 차아황산소다에 대한 덤핑방지관세부과에 관한 규칙</t>
  </si>
  <si>
    <t>2008-01-31</t>
  </si>
  <si>
    <t>2008-01-31 제정</t>
  </si>
  <si>
    <t>제2조(부과대상 물품) 덤핑방지관세가 부과되는 물품은 중국산 차아황산소다(관세율표번호:2831.10.1000)로 한다.</t>
  </si>
  <si>
    <t>M049</t>
  </si>
  <si>
    <t>관세법 제51조에 따른 중국산 플로트판유리에 대한 덤핑방지관세 부과에 관한 규칙</t>
  </si>
  <si>
    <t>2008-04-17</t>
  </si>
  <si>
    <t>2008-04-17 제정</t>
  </si>
  <si>
    <t>제2조(부과대상물품) 덤핑방지관세가 부과되는 물품은 플로트공법으로 생산된 중국산 판유리(관세율표 번호 : 7005.10, 7005.21, 7005.29) 중 다음 각 호의 어느 하나에 해당하는 것으로 하되, 코팅유리(Coated Glass), 무늬유리(Patterned Glass), 망입유리(Wired Glass), 복층유리(Insulating Glass), 강화유리(Tempered Glass), 접합유리(Laminated Glass), 에칭유리(EtchedGlass), 저철분유리(Low iron Glass) 등 판유리의 효용을 개선하기 위하여 가공한 유리를 제외한다. 1. 맑은 유리(Clear Float Glass) : 두께 4㎜ 초과 13㎜ 미만인 것 2. 색유리 중 그린유리(Green Float Glass) : 두께 4㎜ 초과 13㎜ 미만인 것</t>
  </si>
  <si>
    <t>덤핑방지관세가 부과되는 물품은 플로트공법으로 생산된 중국산 판유리(관세율표 번호 : 7005.10, 7005.21, 7005.29) 중 다음 각 호의 어느 하나에 해당하는 것으로 하되, 코팅유리(Coated Glass), 무늬유리(Patterned Glass), 망입유리(Wired Glass), 복층유리(Insulating Glass), 강화유리(Tempered Glass), 접합유리(Laminated Glass), 에칭유리(EtchedGlass), 저철분유리(Low iron Glass) 등 판유리의 효용을 개선하기 위하여 가공한 유리를 제외한다. 1. 맑은 유리(Clear Float Glass) : 두께 4㎜ 초과 13㎜ 미만인 것 2. 색유리 중 그린유리(Green Float Glass) : 두께 4㎜ 초과 13㎜ 미만인 것</t>
  </si>
  <si>
    <t>M050</t>
  </si>
  <si>
    <t>관세법 제51조에 따른 중국산 과산화벤조일에 대한 덤핑방지관세 부과에 관한 규칙</t>
  </si>
  <si>
    <t>2008-05-16</t>
  </si>
  <si>
    <t>2008-05-16 제정</t>
  </si>
  <si>
    <t>제2조(부과대상물품) 덤핑방지관세가 부과되는 물품은 과산화벤조일(관세율표 번호: 2916.32) 중농도 50퍼센트부터 94퍼센트까지의 중국산으로서 수분 외의 물질을 포함하지 아니한 것으로 한다. 다만, 정상적인 제조과정에서 불순물이 첨가되는 경우는 부과대상에 포함한다.</t>
  </si>
  <si>
    <t>M051</t>
  </si>
  <si>
    <t>관세법 제51조에 따른 중국·일본 및 싱가포르산 초산에틸에 대한 덤핑방지관세 부과에 관한 규칙</t>
  </si>
  <si>
    <t>2008-08-25</t>
  </si>
  <si>
    <t>2008-08-25 제정</t>
  </si>
  <si>
    <t>제2조(부과대상 물품) 덤핑방지관세가 부과되는 물품은 중국ㆍ일본 및 싱가포르산 초산에틸(Ethyl Acetate, 관세율표 번호：2915.31)로 한다.</t>
  </si>
  <si>
    <t>M052</t>
  </si>
  <si>
    <t>관세법 제51조에 따른 중국산 아나타제형 이산화티타늄에 대한 덤핑방지관세 부과에 관한 규칙</t>
  </si>
  <si>
    <t>제2조(부과대상 물품) 덤핑방지관세가 부과되는 물품은 중국산 아나타제형 이산화티타늄(관세율표 번호：2823.00)으로서 화학식이 TiO2인 아나타제형 이산화티타늄(섬유용은 제외한다)으로 한다.</t>
  </si>
  <si>
    <t>덤핑방지관세가 부과되는 물품은 중국산 아나타제형 이산화티타늄(관세율표 번호：2823.00)으로서 화학식이 TiO2인 아나타제형 이산화티타늄(섬유용은 제외한다)으로 한다.</t>
  </si>
  <si>
    <t>M053</t>
  </si>
  <si>
    <t>러시아·미국·인도네시아·중국 및 캐나다산 크라프트지에 대한 덤핑방지관세 부과에 관한 규칙</t>
  </si>
  <si>
    <t>2008-10-27</t>
  </si>
  <si>
    <t>2008-10-27 제정</t>
  </si>
  <si>
    <t>제2조(부과대상 물품) 덤핑방지관세가 부과되는 물품은 러시아ㆍ미국ㆍ인도네시아ㆍ중국 및 캐나다산 크라프트지(관세율표 번호: 4804.21, 4804.29)로서 1제곱미터당 중량이 50그램 이상 150그램 이하인 제품으로 한다. 다만, 한국산업규격(KS M ISO) 1924-2에 따라 측정한 인장 파괴 신장률이 세로 6.2퍼센트 이상이며 가로 5.5퍼센트 이상인 크라프트지는 제외한다.</t>
  </si>
  <si>
    <t>다만, 한국산업규격(KS M ISO) 1924-2에 따라 측정한 인장 파괴 신장률이 세로 6.2퍼센트 이상이며 가로 5.5퍼센트 이상인 크라프트지는 제외한다.</t>
  </si>
  <si>
    <t>M054</t>
  </si>
  <si>
    <t>중국 및 인도산 폴리에틸렌 테레프탈레이트(PET) 필름에 대한 덤핑방지관세의 부과에 관한 규칙</t>
  </si>
  <si>
    <t>제2조(부과대상 물품) 덤핑방지관세가 부과되는 물품은 중국 및 인도산 폴리에틸렌 테레프탈레이트(Polyethylene terephthalate, PET) 필름(관세율표 번호: 3920.62, 3920.69)으로 한다. 다만, 별표 1에 따른 물품은 제외한다.</t>
  </si>
  <si>
    <t>다만, 별표 1에 따른 물품은 제외한다.</t>
  </si>
  <si>
    <t>[별표 1] 덤핑방지관세 부과대상 제외물품(제2조 관련) 1. 두께가 9㎛ 미만으로서 증착되지 않은 폴리에틸렌 테레프탈레이트 필름 2. 비냉매용 모터 절연용(絶緣用)으로 사용되는 두께 125㎛ 이상인 흰색의 폴리에틸렌 테레프탈레이트 필름 가. 규격 미국 Underwriters Laboratory Inc.가 지정한 시험방식에 따라 측정한 전기적 및 기계적 내열성(Relative Thermal Index, RTI)이 각각 섭씨 105도 이상이고 흐림도(Haze)가 70퍼센트 이상일 것 나. 모델명 Garfilm EM6(인도 Garware Polyester Limited 제품), J-470(인도 Jindal Polyfilms Limited 제품) 등으로 가목의 규격에 해당하는 것 3. 냉매용 모터 절연용으로 사용되는 두께 125㎛ 이상인 흰색의 폴리에틸렌 테레프탈레이트 필름 가. 규격 미국 Underwriters Laboratory Inc.가 지정한 시험방식에 따라 측정한 전기적 및 기계적 내열성(Relative Thermal Index, RTI)이 각각 섭씨 140도, 125도 이상이고 소중합체(Oligomer) 추출비율이 0.65퍼센트 이하이며 흐림도(Haze)가 75퍼센트 이상일 것 나. 모델명 Garfilm EM6-L.O.(인도 Garware Polyester Limited 제품) 등으로 가목의 규격에 해당하는 것</t>
  </si>
  <si>
    <t>M055</t>
  </si>
  <si>
    <t>대만 및 중국산 폴리에스터 장섬유 부분연신사에 대한 덤핑방지관세의 부과에 관한 규칙</t>
  </si>
  <si>
    <t>2009-01-21</t>
  </si>
  <si>
    <t>2009-01-21 제정</t>
  </si>
  <si>
    <t>제2조(부과대상 물품) 덤핑방지관세가 부과되는 물품은 대만 및 중국산 폴리에스터 장섬유 부분연신사(관세율표 번호: 5402.46)로 한다.</t>
  </si>
  <si>
    <t>M056</t>
  </si>
  <si>
    <t>태국 및 말레이시아산 파티클보드에 대한 덤핑방지관세의 부과에 관한 규칙</t>
  </si>
  <si>
    <t>2009-04-24</t>
  </si>
  <si>
    <t>2009-04-24 제정</t>
  </si>
  <si>
    <t>제2조(부과대상 물품) 덤핑방지관세가 부과되는 물품은 태국 및 말레이시아산 파티클보드(관세ㆍ통계통합품목분류표 번호: 4410.11.1000)로 한다.</t>
  </si>
  <si>
    <t>M057</t>
  </si>
  <si>
    <t>미국ㆍ인도ㆍ중국 및 캐나다산 염화콜린에 대한 덤핑방지관세 부과에 관한 규칙</t>
  </si>
  <si>
    <t>2010-01-29</t>
  </si>
  <si>
    <t>2010-01-29 제정</t>
  </si>
  <si>
    <t>제2조(부과대상 물품) 덤핑방지관세가 부과되는 물품은 미국ㆍ인도ㆍ중국 및 캐나다산 염화콜린(관세ㆍ통계통합품목분류표 번호: 제2309.90.2099호 중 콜린의 염, 제2309.90.3020호 중 콜린의 염, 제2309.90.9000호 중 콜린의 염, 제2923.10.2000호)으로 한다.</t>
  </si>
  <si>
    <t>M058</t>
  </si>
  <si>
    <t>일본ㆍ인도 및 스페인산 스테인리스 스틸바에 대한 덤핑방지관세 부과에 관한 규칙</t>
  </si>
  <si>
    <t>2010-02-24</t>
  </si>
  <si>
    <t>2010-02-24 제정</t>
  </si>
  <si>
    <t>제2조(부과대상 물품) 덤핑방지관세가 부과되는 물품은 일본ㆍ인도 및 스페인산 스테인리스 스틸바(관세ㆍ통계통합품목분류표 번호: 제7222.11.0000호, 제7222.19.0000호, 제7222.20.0000호, 제7222.30.0000호) 중 다음 각 호의 어느 하나에 해당하는 것으로 한다. 다만, 별표 1에 규정된 물품은 제외한다. 1. 중공(中空)이 없는 원형강(Round Bar): 지름이 600㎜ 이하인 것 2. 각강(Square Bar): 대변거리가 4.5㎜ 이상 40㎜ 이하인 것 3. 육각강(Hexagonal Bar): 대변거리가 5㎜ 이상 40㎜ 이하인 것 4. 평강(Flat Bar) 중 다음 각 목의 어느 하나에 해당하는 것 가. 두께가 9㎜ 이상 13㎜ 이하이고 너비가 15㎜ 이상 100㎜ 이하인 것 나. 두께가 13㎜ 이상 20㎜ 이하이고 너비가 15㎜ 이상 150㎜ 이하인 것 다. 두께가 25㎜ 이상 150㎜ 이하이고 너비가 150㎜ 이상 600㎜ 이하인 것. 다만, 두께가 100㎜ 초과 150㎜ 이하이고 너비가 150㎜ 이상 210㎜ 이하인 것은 제외한다.</t>
  </si>
  <si>
    <t>다만, 별표 1에 규정된 물품은 제외한다. 1. 중공(中空)이 없는 원형강(Round Bar): 지름이 600㎜ 이하인 것 2. 각강(Square Bar): 대변거리가 4.5㎜ 이상 40㎜ 이하인 것 3. 육각강(Hexagonal Bar): 대변거리가 5㎜ 이상 40㎜ 이하인 것 4. 평강(Flat Bar) 중 다음 각 목의 어느 하나에 해당하는 것 가. 두께가 9㎜ 이상 13㎜ 이하이고 너비가 15㎜ 이상 100㎜ 이하인 것 나. 두께가 13㎜ 이상 20㎜ 이하이고 너비가 15㎜ 이상 150㎜ 이하인 것 다. 두께가 25㎜ 이상 150㎜ 이하이고 너비가 150㎜ 이상 600㎜ 이하인 것. 다만, 두께가 100㎜ 초과 150㎜ 이하이고 너비가 150㎜ 이상 210㎜ 이하인 것은 제외한다.</t>
  </si>
  <si>
    <t>[별표 1] 덤핑방지관세 부과대상에서 제외되는 물품(제2조 단서 관련) 1. 내열강 JIS의 SUH1/1HT, SUH3/3HT, SUH11/11HT, SUH35, 21-2N, 21-12N(SUH37), 23-8N, 21-4NNbW 규격인 것 2. 니켈합금강 및 전자스테인리스강(Electromagnetic stainless steel) 3. LNG선박 건조용 스테인리스스틸 평강(SUS304)으로서 규격[두께(㎜)×너비(㎜)×길이(㎜)]이 12×55×6,000, 16×55×6,000인 것 4. 합성섬유방사 노즐용으로서 원형강(SUS-630KN) 중 그 경도가 HRC 34～38이고 지름이 30㎜ 이상 600㎜ 이하인 것과 사각강(SUS-630KN) 중 그 경도가 HRC 35～40인 것 5. 다음 각 목의 어느 하나에 해당하는 것 가. 관이음쇠 및 유압용 육각강(SUS316) 중 그 경도가 HRC 21∼23이고, 허용공차가 H11이며, 대변거리(단위: ㎜)가 7.9, 9.5, 11.1, 12.0, 12.7, 14.0, 14.2, 15.0, 15.8, 16.0, 17.0, 17.4, 18.0, 19.1, 20.6, 22.0, 22.2, 23.8, 24.0, 25.0, 25.4, 26.9, 28.5, 30.0, 31.7, 32.0, 33.3, 34.9, 36.0 또는 38.1인 것 나. 스테인리스스틸 원형강(SUS316) 중 그 경도가 HRC 24∼28이고, 허용공차가 H9이며, 지름(단위: ㎜)이 6.0, 10.0, 12.0, 13.0, 14.0, 16.0, 18.0, 20.0, 23.0, 26.0, 29.0, 30.0, 32.0, 35.0, 40.0, 42.0 또는 50.8인 것 6. 가솔린 자동차 연료펌프모터 샤프트(Shaft)용 원형강(SUS440C)으로서 지름 5.1㎜, 길이 2,000㎜, 직경공차 ±0.02㎜ 이내, 진직도 ±0.018㎜ 이내, 진원도 0.012㎜ 이내, 표면거칠기 3.2z 이내 및 표면경도 HRB96(Max)인 것 7. 자동차 연료조절기밸브용 원형강(SUS420F)으로서 규격[지름(㎜)×길이(㎜)]이 7.1(＋0.05/－0)×2,500(＋30/－0) 또는 11.5(＋0.05/－0)×2,500(＋30/－0)인 것 8. 자동차 및 유공압 솔레노이드밸브용 쾌삭스테인리스 스틸바 원형강(ASK3200)으로서 지름이 8㎜ 이하인 것 9. 전자부품 가공용 쾌삭스테인리스 스틸바 원형강(ASK3000U)으로서 지름이 1㎜ 이상 4㎜ 이하인 것</t>
  </si>
  <si>
    <t>M059</t>
  </si>
  <si>
    <t>중국·대만 및 말레이시아산 폴리에스테르 장섬유 연신가공사에 대한 덤핑방지관세 부과에 관한 규칙</t>
  </si>
  <si>
    <t>2010-05-18</t>
  </si>
  <si>
    <t>2010-05-18 제정</t>
  </si>
  <si>
    <t>제2조(부과대상 물품) 덤핑방지관세가 부과되는 물품은 중국ㆍ대만 및 말레이시아산 폴리에스테르 장섬유 연신가공사(Polyester Filament Draw Textured Yarn, 관세ㆍ통계통합품목분류표 번호: 제5402.33.9000호)로 한다. 다만, 별표 1에 규정된 물품은 제외한다.</t>
  </si>
  <si>
    <t>다만, 별표 1에 규정된 물품은 제외한다.</t>
  </si>
  <si>
    <t>[ 별표 1] 덤핑방지관세 부과대상에서 제외되는 물품( 제2 조 단서 관련) 1. 폴리에스테르를 나일론 등 다른 섬유와 복합방사한 물품 2. 폴리에스테르 장섬유 연신가공사를 종류가 다른 원사와 공기( 空氣 ) 로 접착시킨 물품 3. 양이온 염색 가능 폴리에스테르 장섬유 연신가공사(Cationic Dyeable Polyester Filament Draw Textured Yarn) 가. 정의 섬유 내부에 다양한 양의 코모노머(Comonomer) 를 함유한 폴리 에스테르 장섬유 연신가공사로서 다음의 어느 하나에 해당하는 것 1) 5-sodium Sulfo Dimethyl Isophthalate(DMS) 를 1.3mol% 함 유한 Cationic Dyeable Polyester Chip 으로만 생산된 것 2) Cationic Dyeable Polyester Chip 과 일반 폴리에스테르칩을 다양한 비율로 혼합한 경우에는 중량기준으로 Cationic Dyeable Polyester Chip 이 1% 이상 포함된 것 나. 모델 양이온 염색 가능 폴리에스테르 장섬유 연신가공사 100% 로 이 루어지고, 단면이 원형(Round Cross-Section Group) 인 것 중 51D/36F, 51D/72F, 75D/72F/2, 75D/36F, 150D/96F/2 또는 150D/144F/2 인 것 ※ D: 실의 굵기(denier), F: 필라멘트(Filament)의 수, 2: 실타래 2개 4. Dope Dyed Black 폴리에스테르 장섬유 연신가공사 가. 정의 방사과정에서 카본블랙을 혼합한 Black Dope Dyed Polyester POY( 폴리에스테르 장섬유 부분연신사) 를 가연하여 생산된 폴리 에스테르 장섬유 연신가공사 나. 모델 50D/72F, 75D/36F, 100D/36F 또는 300D/96F 인 것 ※ D: 실의 굵기(denier), F: 필라멘트(Filament)의 수 5. Bamboo Charcoal 폴리에스테르 장섬유 연신가공사 가. 정의 중합과정에서 bamboo charcoal 성분의 나노물질이 첨가된 것 으로서 중량기준으로 bamboo charcoal 성분이 0.02% 이상 포 함된 것 나. 모델 가목에 해당하는 모든 것 6. 습도조절(Moisture Management 또는 Cool and Dry) 폴리에스테 르 장섬유 연신가공사 가. 정의 다음의 어느 하나에 해당하는 것 1) 내부의 수분을 외부로 방출하기 위하여 통로의 역할을 하는 "X", "Y", "C", 파도(wave), 중공( 中空 ) 형태 또는 이들을 혼합한 다양한 형태의 단면을 가진 것 2) 중합과정에서 옥( 玉 ) 파우더와 같은 냉각효과를 갖는 미네랄 파우더를 중량의 0.5% 이상 첨가한 것 3) 1) 과 2) 를 혼합하여 생산된 것 나. 모델 가목에 해당하는 모든 것 7. 원적외선(Far-infrared) 폴리에스테르 장섬유 연신가공사 가. 정의 중합과정에서 크기가 70 ㎚～ 100 ㎚인 이산화규소(SiO2 ) 나노 파 우더가 중량의 0.5% 이상 혼합되고, 방사과정에서 원적외선 공 정을 거쳐 생산된 것 나. 모델 가목에 해당하는 모든 것 8. Polyester Trilobal Bright 폴리에스테르 장섬유 연신가공사 가. 정의 테레프탈산(TPA) 과 모노에틸렌글리콜(MEG) 의 중합과정에서 이 산화티타늄(TiO2 ) 을 첨가하지 아니한 것으로서 방사과정에서 삼 각단면 노즐을 사용하여 섬유의 단면이 삼각형인 Polyester TBR POY 를 연신 ㆍ가연하여 생산한 제품으로 광택(Luster) 이 Bright 급 이고 단면이 삼각형인 것 나. 모델 가목에 해당하는 모든 것</t>
  </si>
  <si>
    <t>M060</t>
  </si>
  <si>
    <t>중국산 차아황산소다에 대한 덤핑방지관세 부과에 관한 규칙</t>
  </si>
  <si>
    <t>2010-08-06</t>
  </si>
  <si>
    <t>2010-08-06 제정</t>
  </si>
  <si>
    <t>제2조(부과대상 물품) 덤핑방지관세가 부과되는 물품은 중국산 차아황산소다(관세ㆍ통계통합품목분류표 번호: 제2831.10.1000호)로 한다.</t>
  </si>
  <si>
    <t>M061</t>
  </si>
  <si>
    <t>말레이시아산 합판에 대한 덤핑방지관세 부과에 관한 규칙</t>
  </si>
  <si>
    <t>2011-02-01</t>
  </si>
  <si>
    <t>2011-02-01 제정</t>
  </si>
  <si>
    <t>제2조(부과대상 물품) 덤핑방지관세가 부과되는 물품은 말레이시아산 합판(관세ㆍ통계통합품목분류표 번호: 제4412.31호 또는 제4412.32호) 중 두께가 6밀리미터(㎜) 이상인 것으로 한다.</t>
  </si>
  <si>
    <t>M062</t>
  </si>
  <si>
    <t>일본산 스테인리스스틸 후판에 대한 덤핑방지관세 부과에 관한 규칙</t>
  </si>
  <si>
    <t>2011-04-21</t>
  </si>
  <si>
    <t>2013-02-28 일부개정</t>
  </si>
  <si>
    <t>제2조(부과대상 물품) 덤핑방지관세가 부과되는 물품은 일본산 스테인리스스틸 후판(「관세법 시행령」 제98조에 따른 관세ㆍ통계통합품목분류표 번호: 제7219.21.1010호, 제7219.21.1090호, 제7219.21.9000호, 제7219.22.1010호, 제7219.22.1090호, 제7219.22.9000호에 해당하는 것을 말한다) 중 다음 각 호의 요건을 모두 갖춘 것으로 한다. 다만, 별표에 규정된 물품은 제외한다. 1. 스테인리스강(탄소의 함유량이 전체 중량의 100분의 1.2 이하이고 크롬의 함유량이 전체 중량의 100분의 10.5 이상인 합금강을 말한다)일 것 2. 두께가 8밀리미터 이상 80밀리미터 이하이고 너비가 1천밀리미터 이상 3천270밀리미터 이하인 열간압연(熱間壓延) 강판일 것 3. 압연, 열처리, 냉각 및 후처리과정[교정, 절단, 산세(酸洗) 및 포장을 말한다]을 거친 완제품으로서 코일형태의 제품이 아닌 것</t>
  </si>
  <si>
    <t>다만, 별표에 규정된 물품은 제외한다. 1. 스테인리스강(탄소의 함유량이 전체 중량의 100분의 1.2 이하이고 크롬의 함유량이 전체 중량의 100분의 10.5 이상인 합금강을 말한다)일 것 2. 두께가 8밀리미터 이상 80밀리미터 이하이고 너비가 1천밀리미터 이상 3천270밀리미터 이하인 열간압연(熱間壓延) 강판일 것 3. 압연, 열처리, 냉각 및 후처리과정[교정, 절단, 산세(酸洗) 및 포장을 말한다]을 거친 완제품으로서 코일형태의 제품이 아닌 것</t>
  </si>
  <si>
    <t>[별표] &lt;개정 2013.2.28&gt; 덤핑방지관세 부과대상에서 제외되는 물품(제2조 각 호 외의 부분 단서 관련) 1. Nippon Yakin Kogyo Co., Ltd에서 공급하는 공급자 기호 NAS 800[이 규칙 시행일 현재의 일본공업규격(Japanese Industrial Standards, 이하 "JIS"라 한다)의 NCF 800에 해당한다] 강종(鋼種)인 것 2. JIS의 SUS 410 강종인 것 3. 이 규칙 시행일 현재의 미국재료시험협회(American Society for Testing Materials, 이하 "ASTM"이라 한다)의 410S 또는 JIS의 SUS 410S 강종인 것 4. JIS의 SUS 329J4L(공급자 기호 NAS 64를 포함한다) 강종인 것 5. ASTM의 S 32750(공급자 기호 NAS 74N을 포함한다) 강종인 것 6. 공급자 기호 NAS 800H(JIS의 NCF 800H에 해당한다) 강종인 것 7. 공급자 기호 NAS 255(JIS의 SUS 890L에 해당한다) 강종인 것 8. 공급자 기호 NAS 185N(JIS의 SUS 312L에 해당한다) 강종인 것 9. 공급자 기호 NAS 800T[이 규칙 시행일 현재의 미국통일규격부여시스템(Unified Numbering System, 이하 "UNS No."라 한다)의 N 08811에 해당한다] 강종인 것 10. 공급자 기호 NAS 254NM(UNS No. N 08367에 해당한다) 강종인 것 11. 공급자 기호 NAS 255NM(UNS No. N 08926에 해당한다) 강종인 것 12. 공급자 기호 NAS 75N(UNS No. S 32760에 해당한다) 강종인 것 13. Nippon Steel &amp; Sumikin Stainless Steel Corporation의 고유 강종(NSSC 409L) 중 다음 각 목의 요건을 모두 갖춘 것 가. 탄소 함유량이 전체 중량의 0.03% 이하일 것 나. 규소 함유량이 전체 중량의 1.00% 이하일 것 다. 망간 함유량이 전체 중량의 1.00% 이하일 것 라. 인 함유량이 전체 중량의 0.04% 이하일 것 마. 황 함유량이 전체 중량의 0.03% 이하일 것 바. 크롬 함유량이 전체 중량의 10.50% 이상 11.45% 이하일 것 사. 티타늄 함유량이 전체 중량의 0.75% 이하(하한치는 탄소 함유량의 6배 이상)일 것 14. NIPPON STEEL &amp; SUMITOMO METAL CORPORATION의 고유강종(NSSMC-NAR-SN-1) 중 다음 각 목의 요건을 모두 갖춘 것 가. 탄소 함유량이 전체 중량의 0.02% 이하일 것 나. 규소 함유량이 전체 중량의 3.90% 이상 4.70% 이하일 것 다. 망간 함유량이 전체 중량의 1.50% 이하일 것 라. 인 함유량이 전체 중량의 0.03% 이하일 것 마. 황 함유량이 전체 중량의 0.03% 이하일 것 바. 몰리브덴 함유량이 전체 중량의 0.50% 이하일 것 사. 구리 함유량이 전체 중량의 0.50% 이하일 것 아. 니켈 함유량이 전체 중량의 13.00% 이상 15.50% 이하일 것 자. 크롬 함유량이 전체 중량의 16.50% 이상 18.50% 이하일 것</t>
  </si>
  <si>
    <t>[별표] 덤핑방지관세 부과대상에서 제외되는 물품(제2조 각 호 외의 부분 단서 관련) 1. Nippon Yakin Kogyo Co.,Ltd에서 공급하는 공급자 기호 NAS 800[이 규칙 시행일 현재의 일본공업규격(Japanese Industrial Standards, 이하 “JIS”라 한다)의 NCF 800에 해당한다] 강종(鋼種)인 것 2. JIS의 SUS 410 강종인 것 3. 이 규칙 시행일 현재의 미국재료시험협회(American Society for Testing Materials, 이하 “ASTM”이라 한다)의 410S 또는 JIS의 SUS 410S 강종인 것 4. JIS의 SUS 329J4L(공급자 기호 NAS 64를 포함한다) 강종인 것 5. ASTM의 S 32750(공급자 기호 NAS 74N을 포함한다) 강종인 것 6. 공급자 기호 NAS 800H(JIS의 NCF 800H에 해당한다) 강종인 것 7. 공급자 기호 NAS 255(JIS의 SUS 890L에 해당한다) 강종인 것 8. 공급자 기호 NAS 185N(JIS의 SUS 312L에 해당한다) 강종인 것 9. 공급자 기호 NAS 800T[이 규칙 시행일 현재의 미국통일규격부여시스템(Unified Numbering System, 이하 “UNS No.”라 한다)의 N 08811에 해당한다] 강종인 것 10. 공급자 기호 NAS 254NM(UNS No. N 08367에 해당한다) 강종인 것 11. 공급자 기호 NAS 255NM(UNS No. N 08926에 해당한다) 강종인 것 12. 공급자 기호 NAS 75N(UNS No. S 32760에 해당한다) 강종인 것 13. Nippon Steel &amp; Sumikin Stainless Steel Corporation의 고유 강종(NSSC 409L) 중 다음 각 목의 요건을 모두 갖춘 것 가. 탄소 함유량이 전체 중량의 0.03% 이하일 것 나. 규소 함유량이 전체 중량의 1.00% 이하일 것 다. 망간 함유량이 전체 중량의 1.00% 이하일 것 라. 인 함유량이 전체 중량의 0.04% 이하일 것 마. 황 함유량이 전체 중량의 0.03% 이하일 것 바. 크롬 함유량이 전체 중량의 10.50% 이상 11.45% 이하일 것 사. 티타늄 함유량이 전체 중량의 0.75% 이하(하한치는 탄소 함유량의 6배 이상)일 것 14. SUMITOMO METALS(Naoetsu), LTD의 고유 강종(NAR-SN-1) 중 다음 각 목의 요건을 모두 갖춘 것 가. 탄소 함유량이 전체 중량의 0.02% 이하일 것 나. 규소 함유량이 전체 중량의 3.90% 이상 4.70% 이하일 것 다. 망간 함유량이 전체 중량의 1.50% 이하일 것 라. 인 함유량이 전체 중량의 0.03% 이하일 것 마. 황 함유량이 전체 중량의 0.03% 이하일 것 바. 몰리브덴 함유량이 전체 중량의 0.50% 이하일 것 사. 구리 함유량이 전체 중량의 0.50% 이하일 것 아. 니켈 함유량이 전체 중량의 13.00% 이상 15.50% 이하일 것 자. 크롬 함유량이 전체 중량의 16.50% 이상 18.50% 이하일 것</t>
  </si>
  <si>
    <t>M063</t>
  </si>
  <si>
    <t>중국산 플로트판유리에 대한 덤핑방지관세 부과에 관한 규칙</t>
  </si>
  <si>
    <t>2011-05-24</t>
  </si>
  <si>
    <t>2011-05-24 제정</t>
  </si>
  <si>
    <t>제2조(부과대상 물품) 덤핑방지관세가 부과되는 물품은 플로트공법으로 생산된 중국산 플로트판유리(「관세법 시행령」 제98조에 따른 관세ㆍ통계통합품목분류표 번호: 제7005.21.4000호, 제7005.21.5000호, 제7005.21.6000호, 제7005.21.7010호, 제7005.21.7020호, 제7005.21.7030호, 제7005.29.4010호, 제7005.29.4090호, 제7005.29.5010호, 제7005.29.5090호, 제7005.29.6010호, 제7005.29.6090호, 제7005.29.7010호, 제7005.29.7090호, 제7005.29.8010호, 제7005.29.8090호, 제7005.29.9010호, 제7005.29.9090호에 해당하는 것을 말한다) 중 다음 각 호의 어느 하나에 해당하는 것으로 하되, 코팅유리(Coated Glass), 무늬유리(Patterned Glass), 망입유리(Wired Glass), 복층유리(Insulating Glass), 강화유리(Tempered Glass), 접합유리(Laminated Glass), 에칭유리(Etched Glass), 저철분유리(Low iron Glass) 등 판유리의 효용을 개선하기 위하여 가공한 유리를 제외한다. 1. 맑은 유리(Clear Float Glass): 두께 4밀리미터 초과 13밀리미터 미만인 것 2. 색유리 중 그린유리(Green Float Glass): 두께 4밀리미터 초과 13밀리미터 미만인 것</t>
  </si>
  <si>
    <t>덤핑방지관세가 부과되는 물품은 플로트공법으로 생산된 중국산 플로트판유리(「관세법 시행령」 제98조에 따른 관세ㆍ통계통합품목분류표 번호: 제7005.21.4000호, 제7005.21.5000호, 제7005.21.6000호, 제7005.21.7010호, 제7005.21.7020호, 제7005.21.7030호, 제7005.29.4010호, 제7005.29.4090호, 제7005.29.5010호, 제7005.29.5090호, 제7005.29.6010호, 제7005.29.6090호, 제7005.29.7010호, 제7005.29.7090호, 제7005.29.8010호, 제7005.29.8090호, 제7005.29.9010호, 제7005.29.9090호에 해당하는 것을 말한다) 중 다음 각 호의 어느 하나에 해당하는 것으로 하되, 코팅유리(Coated Glass), 무늬유리(Patterned Glass), 망입유리(Wired Glass), 복층유리(Insulating Glass), 강화유리(Tempered Glass), 접합유리(Laminated Glass), 에칭유리(Etched Glass), 저철분유리(Low iron Glass) 등 판유리의 효용을 개선하기 위하여 가공한 유리를 제외한다. 1. 맑은 유리(Clear Float Glass): 두께 4밀리미터 초과 13밀리미터 미만인 것 2. 색유리 중 그린유리(Green Float Glass): 두께 4밀리미터 초과 13밀리미터 미만인 것</t>
  </si>
  <si>
    <t>M064</t>
  </si>
  <si>
    <t>중국산 도자기질 타일에 대한 덤핑방지관세 부과에 관한 규칙</t>
  </si>
  <si>
    <t>2011-07-20</t>
  </si>
  <si>
    <t>2011-07-20 제정</t>
  </si>
  <si>
    <t>제2조(부과대상 물품) 덤핑방지관세가 부과되는 물품은 중국산 도자기질 타일(「관세법 시행령」 제98조에 따른 관세ㆍ통계통합품목분류표 번호: 제6901.00.3000호, 제6907.90.1000호, 제6907.90.9000호, 제6908.90.1000호, 제6908.90.9000호에 해당하는 것을 말한다)로서 가로 및 세로의 길이가 70밀리미터 이상 1천300밀리미터 이하인 사각형태의 것을 말한다.</t>
  </si>
  <si>
    <t>M065</t>
  </si>
  <si>
    <t>중국ㆍ일본 및 싱가포르산 초산에틸에 대한 덤핑방지관세 부과에 관한 규칙</t>
  </si>
  <si>
    <t>2012-03-27</t>
  </si>
  <si>
    <t>2012-03-27 제정</t>
  </si>
  <si>
    <t>제2조(부과대상 물품) 덤핑방지관세가 부과되는 물품은 중국ㆍ일본 및 싱가포르산 초산에틸(Ethyl Acetate, 관세율표 번호 제2915.31호에 해당하는 것을 말한다)로 한다.</t>
  </si>
  <si>
    <t>M066</t>
  </si>
  <si>
    <t>러시아ㆍ미국ㆍ인도네시아ㆍ중국 및 캐나다산 크라프트지에 대한 덤핑방지관세 부과에 관한 규칙</t>
  </si>
  <si>
    <t>2012-04-10</t>
  </si>
  <si>
    <t>2012-04-10 제정</t>
  </si>
  <si>
    <t>제2조(부과대상 물품) 덤핑방지관세가 부과되는 물품은 러시아ㆍ미국ㆍ인도네시아ㆍ중국 및 캐나다산 크라프트지(관세율표 번호 4804.21호, 4804.29호에 해당하는 것을 말한다)로서 1제곱미터당 중량이 50그램 이상 150그램 이하인 제품으로 한다. 다만, 한국산업규격(KS M ISO) 1924-2에 따라 측정한 인장 파괴 신장률이 세로 6.2퍼센트 이상이며 가로 5.5퍼센트 이상인 크라프트지는 제외한다.</t>
  </si>
  <si>
    <t>M067</t>
  </si>
  <si>
    <t>중국 및 인도산 폴리에틸렌 테레프탈레이트(PET) 필름에 대한 덤핑방지관세 부과에 관한 규칙</t>
  </si>
  <si>
    <t>2012-05-25</t>
  </si>
  <si>
    <t>2012-05-25 제정</t>
  </si>
  <si>
    <t>제2조(부과대상 물품) 덤핑방지관세가 부과되는 물품은 중국 및 인도산 폴리에틸렌 테레프탈레이트(Polyethylene terephthalate, PET) 필름(관세율표 번호 제3920.62호, 제3920.69호에 해당하는 것을 말한다)으로 한다. 다만, 별표 1에 따른 물품은 제외한다.</t>
  </si>
  <si>
    <t>[별표 1] 덤핑방지관세 부과대상에서 제외되는 물품(제2조 단서 관련) 1. 두께가 9㎛ 미만으로서 증착되지 않은 폴리에틸렌 테레프탈레이트 필름 2. 비냉매용 모터 절연용(絶緣用)으로 사용되는 두께 125㎛ 이상인 흰색의 폴리에틸렌 테레프탈레이트 필름으로서 다음 각 목의 요건을 모두 갖춘 것 가. 규격 미국 Underwriters Laboratory Inc.가 지정한 시험방식에 따라 측정한 전기적 및 기계적 내열성(Relative Thermal Index, RTI)이 각각 섭씨 105도 이상이고 흐림도(Haze)가 70퍼센트 이상일 것 나. 모델명 Garfilm EM6(인도 Garware Polyester Limited 제품), J-470(인도 Jindal Polyfilms Limited 제품) 등 3. 냉매용 모터 절연용으로 사용되는 두께 125㎛ 이상인 흰색의 폴리에틸렌 테레프탈레이트 필름으로서 다음 각 목의 요건을 모두 갖춘 것 가. 규격 미국 Underwriters Laboratory Inc.가 지정한 시험방식에 따라 측정한 전기적 및 기계적 내열성(Relative Thermal Index, RTI)이 각각 섭씨 140도, 125도 이상이고 소중합체(Oligomer) 추출비율이 0.65퍼센트 이하이며 흐림도(Haze)가 75퍼센트 이상일 것 나. 모델명 Garfilm EM6-L.O.(인도 Garware Polyester Limited 제품) 등</t>
  </si>
  <si>
    <t>M068</t>
  </si>
  <si>
    <t>대만 및 중국산 폴리에스테르 장섬유 부분연신사에 대한 덤핑방지관세 부과에 관한 규칙</t>
  </si>
  <si>
    <t>2012-07-25</t>
  </si>
  <si>
    <t>2012-07-25 제정</t>
  </si>
  <si>
    <t>제2조(부과대상 물품) 덤핑방지관세가 부과되는 물품은 대만 및 중국산으로서 테레프탈산(Terephthalic Acid)과 모노에틸렌글리콜(Mono Ethylent Glycol)을 중합한 폴리에스테르 장섬유 부분연신사(관세율표 번호 제5402.46호에 해당하는 것을 말한다)로 한다.</t>
  </si>
  <si>
    <t>M069</t>
  </si>
  <si>
    <t>일본산 알루미늄 보틀캔에 대한 덤핑방지관세 부과에 관한 규칙</t>
  </si>
  <si>
    <t>2013-01-03</t>
  </si>
  <si>
    <t>2013-01-03 제정</t>
  </si>
  <si>
    <t>제2조(부과대상 물품) 덤핑방지관세가 부과되는 물품은 일본산 알루미늄 보틀캔(「관세법 시행령」 제98조에 따른 관세ㆍ통계통합품목분류표 번호 7612.90.9010호에 해당하는 것을 말한다) 중 용적이 196밀리리터(㎖) 이상 952밀리리터(㎖) 이하인 것을 말한다.</t>
  </si>
  <si>
    <t>M070</t>
  </si>
  <si>
    <t>2013-08-22</t>
  </si>
  <si>
    <t>2013-08-22 제정</t>
  </si>
  <si>
    <t>제2조(부과대상 물품) 「관세법」 제51조 및 제56조에 따른 덤핑방지관세(이하 “덤핑방지관세”라 한다)가 부과되는 물품은 미국ㆍ인도ㆍ중국 및 캐나다산 염화콜린(「관세법 시행령」 제98조에 따른 관세ㆍ통계통합품목분류표 번호 제2309.90.2099호 중 콜린의 염, 제2309.90.3020호 중 콜린의 염, 제2309.90.9000호 중 콜린의 염, 제2923.10.2000호에 해당하는 것을 말한다)으로서 사료첨가제 또는 동물용 의약품 원료로 사용되는 것을 말한다.</t>
  </si>
  <si>
    <t>M071</t>
  </si>
  <si>
    <t>2013-10-01</t>
  </si>
  <si>
    <t>2013-10-01 제정</t>
  </si>
  <si>
    <t>제2조(부과대상 물품) 「관세법」 제51조 및 제56조에 따른 덤핑방지관세(이하 “덤핑방지관세”라 한다)가 부과되는 물품은 일본ㆍ인도 및 스페인산 스테인리스 스틸바(「관세법 시행령」 제98조에 따른 관세ㆍ통계통합품목분류표 번호 제7222.11.0000호, 제7222.19.0000호, 제7222.20.0000호, 제7222.30.0000호) 중 다음 각 호의 어느 하나에 해당하는 것으로 한다. 다만, 별표 1에 규정된 물품은 제외한다. 1. 중공(中空)이 없는 원형강(Round Bar): 지름이 600㎜ 이하인 것 2. 각강(Square Bar): 대변거리가 4.5㎜ 이상 40㎜ 이하인 것 3. 육각강(Hexagonal Bar): 대변거리가 5㎜ 이상 40㎜ 이하인 것 4. 평강(Flat Bar) 중 다음 각 목의 어느 하나에 해당하는 것 가. 두께가 9㎜ 이상 13㎜ 이하이고 너비가 15㎜ 이상 100㎜ 이하인 것 나. 두께가 13㎜ 이상 20㎜ 이하이고 너비가 15㎜ 이상 150㎜ 이하인 것 다. 두께가 25㎜ 이상 150㎜ 이하이고 너비가 150㎜ 이상 600㎜ 이하인 것. 다만, 두께가 100㎜ 초과 150㎜ 이하이고 너비가 150㎜ 이상 210㎜ 이하인 것은 제외한다.</t>
  </si>
  <si>
    <t>[별표 1] 덤핑방지관세 부과대상에서 제외되는 물품(제2조 단서 관련) 1. 내열강 JIS의 SUH1/1HT, SUH3/3HT, SUH11/11HT, SUH35, 21-2N, 21-12N(SUH37), 23-8N, 21-4NNbW 규격인 것 2. 니켈합금강 및 전자스테인리스강(Electromagnetic stainless steel) 3. LNG선박 건조용 스테인리스스틸 평강(SUS304)으로서 규격[두께(㎜)×너비(㎜)×길이(㎜)]이 12×55×6,000, 16×55×6,000인 것 4. 합성섬유방사 노즐용으로서 원형강(SUS-630KN) 중 그 경도가 HRC 34～38이고 지름이 30㎜ 이상 600㎜ 이하인 것과 사각강(SUS-630KN) 중 그 경도가 HRC 35 ～ 40인 것 5. 다음 각 목의 어느 하나에 해당하는 것 가. 관 이음쇠 및 유압용 육각강(SUS316) 중 그 경도가 HRC 21∼23이고, 허용공차가 H11이며, 대변거리(단위: ㎜)가 7.9, 9.5, 11.1, 12.0, 12.7, 14.0, 14.2, 15.0, 15.8, 16.0, 17.0, 17.4, 18.0, 19.1, 20.6, 22.0, 22.2, 23.8, 24.0, 25.0, 25.4, 26.9, 28.5, 30.0, 31.7, 32.0, 33.3, 34.9, 36.0 또는 38.1인 것 나. 스테인리스스틸 원형강(SUS316) 중 그 경도가 HRC 24 ∼ 28이고, 허용공차가 H9이며, 지름(단위: ㎜)이 6.0, 10.0, 12.0, 13.0, 14.0, 16.0, 18.0, 20.0, 23.0, 26.0, 29.0, 30.0, 32.0, 35.0, 40.0, 42.0 또는 50.8인 것 6. 가솔린 자동차 연료펌프모터 샤프트(Shaft)용 원형강(SUS440C)으로서 지름 5.1㎜, 길이 2,000㎜, 직경공차 ±0.02㎜ 이내, 진직도 ±0.018㎜ 이내, 진원도 0.012㎜ 이내, 표면거칠기 3.2z 이내 및 표면경도 HRB96(Max)인 것 7. 자동차 연료조절기밸브용 원형강(SUS420F)으로서 규격[지름(㎜)×길이(㎜)]이 7.1(＋0.05/－0)×2,500(＋30/－0) 또는 11.5(＋0.05/－0)×2,500(＋30/－0)인 것 8. 자동차 및 유공압 솔레노이드밸브용 쾌삭스테인리스 스틸바 원형강(ASK3200)으로서 지름이 8㎜ 이하인 것 9. 전자부품 가공용 쾌삭스테인리스 스틸바 원형강(ASK3000U)으로서 지름이 1㎜ 이상 4㎜ 이하인 것 10. SUS316L 계열의 원형강 중 고청정 반도체 제조설비에 사용되는 밸브 및 배관부품용으로 2회 이상의 용해 또는 정련 공정을 거친 것으로서 다음 각 목의 요건을 모두 갖춘 것 가. 탄소 함유량이 전체중량의 0.01% 이하일 것 나. 규소의 함유량이 전체중량의 0.15% 이하일 것 다. 망간의 함유량이 전체중량의 0.05% 이하일 것 라. 황의 함유량이 전체중량의 0.002% 이하일 것 마. 질소의 함유량이 전체중량의 0.015% 이하일 것 바. 산소의 함유량이 전체중량의 0.0015% 이하일 것 사. 니켈의 함유량이 전체중량의 14.5% 이상 15.0% 이하일 것 아. 크롬의 함유량이 전체중량의 16.5% 이상 17.0% 이하일 것 자. 몰리브덴의 함유량이 전체중량의 2.20% 이상 2.25% 이하일 것 11. SUS316L 계열의 원형강 중 고청정 반도체 제조설비에 사용되는 밸브 및 배관부품용으로 2회 이상의 용해 또는 정련 공정을 거친 것으로서 다음 각 목의 요건을 모두 갖춘 것 가. 탄소 함유량이 전체중량의 0.01% 이하일 것 나. 규소의 함유량이 전체중량의 0.30% 이하일 것 다. 망간의 함유량이 전체중량의 0.40% 이하일 것 라. 황의 함유량이 전체중량의 0.003% 이하일 것 마. 질소의 함유량이 전체중량의 0.015% 이하일 것 바. 산소의 함유량이 전체중량의 0.0015% 이하일 것 사. 니켈의 함유량이 전체중량의 14.5% 이상 15.0% 이하일 것 아. 크롬의 함유량이 전체중량의 16.5% 이상 17.0% 이하일 것 자. 몰리브덴의 함유량이 전체중량의 2.20% 이상 2.5% 이하일 것</t>
  </si>
  <si>
    <t>M072</t>
  </si>
  <si>
    <t>중국산 합판에 대한 덤핑방지관세 부과에 관한 규칙</t>
  </si>
  <si>
    <t>2013-10-18</t>
  </si>
  <si>
    <t>2014-10-27 일부개정</t>
  </si>
  <si>
    <t>제2조(부과대상 물품) 덤핑방지관세가 부과되는 물품은 중국산 합판(「관세법 시행령」 제98조에 따른 관세ㆍ통계통합품목분류표 번호 제4412.31호 또는 제4412.32호) 중 두께가 6밀리미터(mm) 이상인 것으로 한다.</t>
  </si>
  <si>
    <t>M073</t>
  </si>
  <si>
    <t>중국ㆍ대만 및 말레이시아산 폴리에스테르 장섬유 연신가공사에 대한 덤핑방지관세 부과에 관한 규칙</t>
  </si>
  <si>
    <t>2013-12-20</t>
  </si>
  <si>
    <t>2013-12-20 제정</t>
  </si>
  <si>
    <t>제2조(부과대상 물품) 덤핑방지관세가 부과되는 물품은 중국ㆍ대만 및 말레이시아산 폴리에스테르 장섬유 연신가공사(Polyester Filament Draw Textured Yarn, 「관세법 시행령」 제98조에 따른 관세ㆍ통계통합품목분류표 번호 제5402.33.9000호)로 한다. 다만, 별표 1에 따른 물품은 제외한다.</t>
  </si>
  <si>
    <t>[별표 1] 덤핑방지관세 부과대상에서 제외되는 물품(제2조 단서 관련) 1. 폴리에스테르를 나일론 등 다른 섬유와 복합방사한 물품 2. 폴리에스테르 장섬유 연신가공사를 종류가 다른 원사와 공기(空氣)로 접착시킨 물품 3. 양이온 염색 가능 폴리에스테르 장섬유 연신가공사(Cationic Dyeable Polyester Filament Draw Textured Yarn) 가. 정의 섬유 내부에 다양한 양의 코모노머(Comonomer)를 함유한 폴리에스테르 장섬유 연신가공사로서 다음의 어느 하나에 해당하는 것 1) 5-sodium Sulfo Dimethyl Isophthalate(DMS)를 1.3mol% 함유한 Cationic Dyeable Polyester Chip으로만 생산된 것 2) Cationic Dyeable Polyester Chip과 일반 폴리에스테르칩을 다양한 비율로 혼합한 경우에는 중량기준으로 Cationic Dyeable Polyester Chip이 1퍼센트 이상 포함된 것 나. 모델 양이온 염색 가능 폴리에스테르 장섬유 연신가공사 100퍼센트로 이루어지고, 단면이 원형(Round Cross-Section Group)인 것 중 51D/36F, 51D/72F, 75D/72F/2, 75D/36F, 150D/96F/2 또는 150D/144F/2인 것 ※ D: 실의 굵기(denier), F: 필라멘트(Filament)의 수, 2: 실타래 2개 4. Dope Dyed Black 폴리에스테르 장섬유 연신가공사 가. 정의 방사과정에서 카본블랙을 혼합한 Black Dope Dyed Polyester POY(폴리에스테르 장섬유 부분연신사)를 가연하여 생산된 폴리에스테르 장섬유 연신가공사 나. 모델 50D/36F, 50D/72F, 75D/36F, 100D/36F 또는 300D/96F인 것 ※ D: 실의 굵기(denier), F: 필라멘트(Filament)의 수 5. Bamboo Charcoal 폴리에스테르 장섬유 연신가공사 가. 정의 중합과정에서 bamboo charcoal 성분의 나노물질이 첨가된 것으로서 중량기준으로 bamboo charcoal 성분이 0.02퍼센트 이상 포함된 것 나. 모델 가목에 해당하는 모든 것 6. 습도조절(Moisture Management 또는 Cool and Dry) 폴리에스테르 장섬유 연신가공사 가. 정의 다음의 어느 하나에 해당하는 것 1) 내부의 수분을 외부로 방출하기 위하여 통로의 역할을 하는 "X", "Y", "C", 파도(wave), 중공(中空) 형태 또는 이들을 혼합한 다양한 형태의 단면을 가진 것 2) 중합과정에서 옥(玉) 파우더와 같은 냉각효과를 갖는 미네랄 파우더를 중량의 0.5퍼센트 이상 첨가한 것 3) 1)과 2)를 혼합하여 생산된 것 나. 모델 가목에 해당하는 모든 것 7. 원적외선(Far-infrared) 폴리에스테르 장섬유 연신가공사 가. 정의 중합과정에서 크기가 70㎚～100㎚인 이산화규소(SiO2) 나노 파우더가 중량의 0.5퍼센트 이상 혼합되고, 방사과정에서 원적외선 공정을 거쳐 생산된 것 나. 모델 가목에 해당하는 모든 것 8. Polyester Trilobal Bright 폴리에스테르 장섬유 연신가공사 가. 정의 테레프탈산(TPA)과 모노에틸렌글리콜(MEG)의 중합과정에서 이산화티타늄(TiO2)을 첨가하지 아니한 것으로서 방사과정에서 삼각단면 노즐을 사용하여 섬유의 단면이 삼각형인 Polyester TBR POY를 연신ㆍ가연하여 생산한 제품으로 광택(Luster)이 Bright급이고 단면이 삼각형인 것 나. 모델 가목에 해당하는 모든 것</t>
  </si>
  <si>
    <t>M074</t>
  </si>
  <si>
    <t>중국ㆍ인도네시아 및 태국산 폴리프로필렌 연신필름에 대한 덤핑방지관세 부과에 관한 규칙</t>
  </si>
  <si>
    <t>제2조(부과대상 물품) 덤핑방지관세가 부과되는 물품은 중국ㆍ인도네시아 및 태국산 폴리프로필렌 연신필름(Oriented Polypropylene Film,「관세법 시행령」 제98조에 따른 관세ㆍ통계통합품목분류표 번호 제3920.20.0000호 또는 제3921.90.2000호) 중 두께가 10마이크로미터(㎛) 이상인 것으로 한다.</t>
  </si>
  <si>
    <t>M075</t>
  </si>
  <si>
    <t>2014-09-05</t>
  </si>
  <si>
    <t>2014-09-05 제정</t>
  </si>
  <si>
    <t>제2조(부과대상 물품) 덤핑방지관세가 부과되는 물품은 말레이시아산 합판(「관세법 시행령」 제98조에 따른 관세ㆍ통계통합품목분류표 번호 제4412.31호 또는 제4412.32호에 해당하는 것을 말한다) 중 두께가 6밀리미터(㎜) 이상인 것으로 한다.</t>
  </si>
  <si>
    <t>M076</t>
  </si>
  <si>
    <t>미국ㆍ말레이시아ㆍ태국 및 일본산 에탄올아민에 대한 덤핑방지관세 부과에 관한 규칙</t>
  </si>
  <si>
    <t>2014-12-30</t>
  </si>
  <si>
    <t>2014-12-30 제정</t>
  </si>
  <si>
    <t>제2조(부과대상 물품) 덤핑방지관세가 부과되는 물품은 미국ㆍ말레이시아ㆍ태국 및 일본산 에탄올아민(Ethanolamine, 「관세법 시행령」 제98조에 따른 관세ㆍ통계통합품목분류표 번호 제2922.11.1000호, 제2922.12.1000호, 제2922.13.1000호에 해당하는 것을 말한다)으로 한다.</t>
  </si>
  <si>
    <t>M077</t>
  </si>
  <si>
    <t>일본산 두꺼운 폴리에틸렌 테레프탈레이트(PET) 필름에 대한 덤핑방지관세 부과에 관한 규칙</t>
  </si>
  <si>
    <t>제2조(부과대상 물품) 덤핑방지관세가 부과되는 물품은 일본산 폴리에틸렌 테레프탈레이트(PET, Polyethylene Terephthalate) 필름(「관세법 시행령」 제98조에 따른 관세ㆍ통계통합품목분류표 번호 제3920.62.0000호에 해당하는 것을 말한다) 중 다음 각 호의 요건을 모두 갖춘 투명한 것으로 한다. 다만, 두께 1마이크로미터 이상의 코팅, 인쇄, 증착, 라미네이션 등의 추가 가공을 거친 물품은 제외한다. 1. 두께가 105마이크로미터 이상일 것 2. 흐림도가 15퍼센트 이하일 것</t>
  </si>
  <si>
    <t>다만, 두께 1마이크로미터 이상의 코팅, 인쇄, 증착, 라미네이션 등의 추가 가공을 거친 물품은 제외한다. 1. 두께가 105마이크로미터 이상일 것 2. 흐림도가 15퍼센트 이하일 것</t>
  </si>
  <si>
    <t>M078</t>
  </si>
  <si>
    <t>2015-01-07</t>
  </si>
  <si>
    <t>2015-01-07 제정</t>
  </si>
  <si>
    <t>제2조(부과대상 물품) 덤핑방지관세가 부과되는 물품은 플로트공법으로 생산된 중국산 플로트판유리(「관세법 시행령」 제98조에 따른 관세ㆍ통계통합품목분류표 번호 제7005.21.4000호, 제7005.21.5000호, 제7005.21.6000호, 제7005.21.7010호, 제7005.21.7020호, 제7005.21.7030호, 제7005.29.4010호, 제7005.29.4090호, 제7005.29.5010호, 제7005.29.5090호, 제7005.29.6010호, 제7005.29.6090호, 제7005.29.7010호, 제7005.29.7090호, 제7005.29.8010호, 제7005.29.8090호, 제7005.29.9010호, 제7005.29.9090호에 해당하는 것을 말한다) 중 다음 각 호의 어느 하나에 해당하는 것으로 한다. 다만, 코팅유리(Coated Glass), 무늬유리(Patterned Glass), 망입유리(Wired Glass), 복층유리(Insulating Glass), 강화유리(Tempered Glass), 접합유리(Laminated Glass), 에칭유리(Etched Glass), 저철분유리(Low iron Glass) 등 판유리의 효용을 개선하기 위하여 가공한 유리는 제외한다. 1. 맑은 유리(Clear Float Glass): 두께가 4밀리미터를 초과하고 13밀리미터 미만인 것 2. 색유리 중 그린유리(Green Float Glass): 두께가 4밀리미터를 초과하고 13밀리미터 미만인 것</t>
  </si>
  <si>
    <t>다만, 코팅유리(Coated Glass), 무늬유리(Patterned Glass), 망입유리(Wired Glass), 복층유리(Insulating Glass), 강화유리(Tempered Glass), 접합유리(Laminated Glass), 에칭유리(Etched Glass), 저철분유리(Low iron Glass) 등 판유리의 효용을 개선하기 위하여 가공한 유리는 제외한다. 1. 맑은 유리(Clear Float Glass): 두께가 4밀리미터를 초과하고 13밀리미터 미만인 것 2. 색유리 중 그린유리(Green Float Glass): 두께가 4밀리미터를 초과하고 13밀리미터 미만인 것</t>
  </si>
  <si>
    <t>M079</t>
  </si>
  <si>
    <t>2015-02-25</t>
  </si>
  <si>
    <t>2015-02-25 제정</t>
  </si>
  <si>
    <t>제2조(부과대상 물품) 덤핑방지관세가 부과되는 물품은 중국산 도자기질 타일(「관세법 시행령」 제98조에 따른 관세ㆍ통계통합품목분류표 번호 제6901.00.3000호, 제6907.90.1000호, 제6907.90.9000호, 제6908.90.1000호, 제6908.90.9000호에 해당하는 것을 말한다)로서 가로와 세로의 길이가 각각 70밀리미터 이상 1천300밀리미터 이하인 사각형태의 것을 말한다.</t>
  </si>
  <si>
    <t>M080</t>
  </si>
  <si>
    <t>중국산 에이치(H) 형강에 대한 덤핑방지관세의 부과에 관한 규칙</t>
  </si>
  <si>
    <t>2015-07-30</t>
  </si>
  <si>
    <t>2019-11-25 일부개정</t>
  </si>
  <si>
    <t>제2조(부과대상 물품) 덤핑방지관세가 부과되는 물품은 중국산 에이치(H) 형강[「관세법 시행령」 제98조에 따른 관세ㆍ통계통합품목분류표 번호 제7216.33.3000호, 제7216.33.4000호, 제7216.33.5000호, 제7228.70.1010호, 제7228.70.1090호에 해당하는 것을 말한다] 중 다음 각 호의 요건을 모두 갖춘 것으로 한다. 1. 상하 및 좌우 대칭 형태일 것 2. 「산업표준화법」 제12조에 따른 한국산업표준에 따라 측정한 높이가 80밀리미터 이상일 것</t>
  </si>
  <si>
    <t>■ 중국산 에이치(H) 형강에 대한 덤핑방지관세의 부과에 관한 규칙 [별표 1] &lt;개정 2019. 11. 25.&gt; 부과대상 공급자에서 제외되는 공급자(제3조제2항 관련) 공급자 1. 바오토우스틸(Inner Mongolia Baotou Steel Union Co., Ltd.)과 그 기업의 제품 을 수출하는 다음 각 목의 기업 가. Baotou Steel International Economic and Trading Co., Ltd. 나. Baogang Zhan Bo International Trade Limited 다. Baotou Steel(Hong Kong) Co., Ltd. 라. Baotou Steel(Singapore) Pte. Ltd. 2. 마안산스틸(Maanshan Iron &amp; Steel Co., Ltd.)과 그 기업의 제품을 수출하는 Maanshan Iron &amp; Steel(Hong Kong) Limited 3. 라이우스틸(Shandong Iron and Steel Company Ltd Laiwu Company)과 그 기 업의 제품을 수출하는 다음 각 목의 기업 가. Shandong Laiwu Steel International Corp. 나. Eldon Development Limited 다. Shandong Steel International Co., Ltd. 4. 르자오스틸(Rizhao Medium Section Mill Co., Ltd.)과 그 기업의 제품을 수출하 는 다음 각 목의 기업 가. Rizhao Steel Holding Group Co., Ltd. 나. Bright Ruby Resources Pte Limited 다. Baohua Steel International Pte. Limited 5. 안타이스틸(Shanxi Antai H-beam Co., Ltd.)과 그 기업의 제품을 수출하는 다 음 각 목의 기업 가. Jiexiu Yian Industry Co., Ltd. 나. Shanxi Antai International Trading Co., Ltd. 다. Everstate Trading(Hong Kong) Limited 6. 진시스틸(Hebei Jinxi Iron and Steel Group Co., Ltd. 및 Hebei Jinxi Section Steel Co., Ltd.)과 그 기업의 제품을 수출하는 다음 각 목의 기업 가. Jinxi International Trade Co., Ltd. 나. China Oriental Group Company Limited 다. China Oriental Singapore Pte. Ltd. 라. Tianjin Hainajin International Trade Co., Ltd. 마. Hebei Jinxi International Trade Co., Ltd. 7. 티엔싱스틸(Tangshan Fengrun Tianxing Iron And Steel Co., Ltd.)과 그 기업 의 제품을 수출하는 다음 각 목의 기업 가. Beijing Tianzhu Fortune International Trading Co., Ltd. 나. Tangshan Laiwei Trading Co., Ltd.</t>
  </si>
  <si>
    <t>[별표 1] 부과대상 공급자에서 제외되는 공급자(제3조제2항 관련) 공급자 1. 바오토우스틸(Inner Mongolia Baotou Steel Union Co., Ltd.)과 그 기업의 제품을 수출하는 다음 각 목의 기업 가. Baotou Steel International Economic and Trading Co., Ltd. 나. Baogang Zhan Bo International Trade Limited 다. Baotou Steel(Hong Kong) Co., Ltd. 라. Baotou Steel(Singapore) Pte. Ltd. 2. 마안산스틸(Maanshan Iron &amp; Steel Co., Ltd.)과 그 기업의 제품을 수출하는 Maanshan Iron &amp; Steel(Hong Kong) Limited 3. 라이우스틸(Shandong Iron and Steel Company Ltd Laiwu Company)과 그 기업의 제품을 수출하는 다음 각 목의 기업 가. Shandong Laiwu Steel International Corp. 나. Eldon Development Limited 다. Shandong Steel International Co., Ltd. 4. 르자오스틸(Rizhao Medium Section Mill Co., Ltd.)과 그 기업의 제품을 수출하는 다음 각 목의 기업 가. Rizhao Steel Holding Group Co., Ltd. 나. Bright Ruby Resources Pte Limited 5. 신타이스틸(Shanxi Xintai Iron &amp; Steel Co., Ltd.)과 그 기업의 제품을 수출하는 다음 각 목의 기업 가. Jiexiu Yian Industry Co., Ltd. 나. Shanxi Antai International Trading Co., Ltd. 다. Everstate Trading(Hong Kong) Limited 6. 진시스틸(Hebei Jinxi Iron and Steel Group Co., Ltd. 및 Hebei Jinxi Section Steel Co., Ltd.)과 그 기업의 제품을 수출하는 다음 각 목의 기업 가. Jinxi International Trade Co., Ltd. 나. China Oriental Group Company Limited 다. China Oriental Singapore Pte. Ltd. 라. Tianjin Hainajin International Trade Co., Ltd. 7. 티엔싱스틸(Tangshan Fengrun Tianxing Iron And Steel Co., Ltd.)과 그 기업의 제품을 수출하는 다음 각 목의 기업 가. Beijing Tianzhu Fortune International Trading Co., Ltd. 나. Tangshan Laiwei Trading Co., Ltd.</t>
  </si>
  <si>
    <t>M081</t>
  </si>
  <si>
    <t>일본산 공기압 전송용 밸브에 대한 덤핑방지관세의 부과에 관한 규칙</t>
  </si>
  <si>
    <t>2015-08-19</t>
  </si>
  <si>
    <t>2015-08-19 제정</t>
  </si>
  <si>
    <t>제2조(부과대상 물품) 덤핑방지관세가 부과되는 물품은 일본산 공기압 전송용 밸브[「관세법 시행령」 제98조에 따른 관세ㆍ통계통합품목분류표 번호 제8481.20.2000호에 해당하는 것을 말한다] 중 다음 각 호의 요건을 모두 갖춘 것으로 한다. 다만, 별표 1에 규정된 물품은 제외한다. 1. 압축공기를 이용하여 기계적인 운동을 발생시키는 공기압 시스템에서 사용되는 것일 것 2. 관로상의 압력이 10바 미만인 압축공기의 흐름을 제어하는 것일 것 3. 안지름 320밀리미터 이하의 액추에이터(actuator)를 구동시키기 위한 것일 것</t>
  </si>
  <si>
    <t>다만, 별표 1에 규정된 물품은 제외한다. 1. 압축공기를 이용하여 기계적인 운동을 발생시키는 공기압 시스템에서 사용되는 것일 것 2. 관로상의 압력이 10바 미만인 압축공기의 흐름을 제어하는 것일 것 3. 안지름 320밀리미터 이하의 액추에이터(actuator)를 구동시키기 위한 것일 것</t>
  </si>
  <si>
    <t>[별표 1] 덤핑방지관세 부과제외 물품(제2조 관련) 1. 회사명: 에스엠씨(SMC Corporation) 품목 덤핑방지관세 부과 제외 모델 2포트 밸브 LV*, LL*, SCV*, SG*, SX1*, VAH*, VAS*, VC*, VD*, VMG*, VN*, VPG*, VPS*, VPW*, VPZA*, VQJ*, VX*, XT3*, DXT*, INV79*, VM12*, VM22*, VQ21A*, VQ21M*, VQ31A*, VQ31M*, ELV*, ELL*, ESCV*, ESG*, ESX1*, EVAH*, EVAS*, EVC*, EVD*, EVMG*, EVN*, EVPG*, EVPS*, EVPW*, EVPZA*, EVQJ*, EVX*, EXT3*, EDXT*, EINV79*, EVM12*, EVM22*, EVQ21A*, EVQ21M*, EVQ31A*, EVQ31M*, EVFS*, NLV*, NLL*, NSCV*, NSG*, NSX1*, NVAH*, NVAS*, NVC*, NVD*, NVMG*, NVN*, NVPG*, NVPS*, NVPW*, NVPZA*, NVQJ*, NVX*, NXT3*, NDXT*, NINV79*, NVM12*, NVM22*, NVQ21A*, NVQ21M*, NVQ31A*, NVQ31M*, ◇◇-LV*, ◇◇-LL*, ◇◇-SCV*, ◇◇-SG*, ◇◇-SX1*, ◇◇-VAH*, ◇◇-VAS*, ◇◇-VC*, ◇◇-VD*, ◇◇-VMG*, ◇◇-VN*, ◇◇-VPG*, ◇◇-VPS*, ◇◇-VPW*, ◇◇-VPZA*, ◇◇-VQJ*, ◇◇-VX*, ◇◇-XT3*, ◇◇-DXT*, ◇◇-INV79*, ◇◇-VM12*, ◇◇-VM22*, ◇◇-VQ21A*, ◇◇-VQ21M*, ◇◇-VQ31A*, ◇◇-VQ31M*, ◇◇-ELV*, ◇◇-ELL*, ◇◇-ESCV*, ◇◇-ESG*, ◇◇-ESX1*, ◇◇-EVAH*, ◇◇-EVAS*, ◇◇-EVC*, ◇◇-EVD*, ◇◇-EVMG*, ◇◇-EVN*, ◇◇-EVPG*, ◇◇-EVPS*, ◇◇-EVPW*, ◇◇-EVPZA*, ◇◇-EVQJ*, ◇◇-EVX*, ◇◇-EXT3*, ◇◇-EDXT*, ◇◇-EINV79*, ◇◇-EVM12*, ◇◇-EVM22*, ◇◇-EVQ21A*, ◇◇-EVQ21M*, ◇◇-EVQ31A*, ◇◇-EVQ31M*, ◇◇-EVFS*, ◇◇-NLV*, ◇◇-NLL*, ◇◇-NSCV*, ◇◇-NSG*, ◇◇-NSX1*, ◇◇-NVAH*, ◇◇-NVAS*, ◇◇-NVC*, ◇◇-NVD*, ◇◇-NVMG*, ◇◇-NVN*, ◇◇-NVPG*, ◇◇-NVPS*, ◇◇-NVPW*, ◇◇-NVPZA*, ◇◇-NVQJ*, ◇◇-NVX*, ◇◇-NXT3*, ◇◇-NDXT*, ◇◇-NINV79*, ◇◇-NVM12*, ◇◇-NVM22*, ◇◇-NVQ21A*, ◇◇-NVQ21M*, ◇◇-NVQ31A*, ◇◇-NVQ31M* 초진공 밸브 XG*, XL*, XM*, XS*, XV*, XY* 진공용 밸브 SJ3A6*, VQD1000-V*, *V-*, *W-*, ◇◇-*V-, ◇◇-*W-* 펌프, 필터, 레귤레이터 등 AF*, AK*, AP*, AR*, AV*, AZ1*, AZ3*, AZ4*, AZ9*, CV*, EX*, IN*, LQ*, PA*, PB*, VBA*, VE*, VY*, XTO*, EAF*, EAK*, EAP*, EAR*, EAV*, EAZ1*, EAZ3*, EAZ4*, EAZ9*, ECV*, EEX*, EIN*, EPA*, EVBA*, EVE*, EVY*, EXTO*, NAF*, NAK*, NAP*, NAR*, NAV*, NAZ1*, NAZ3*, NAZ4*, NAZ9*, NCV*, NEX*, NIN*, NPA*, NVBA*, NVE*, NVY*, NXTO*, ◇◇-AF*, ◇◇-AK*, ◇◇-AP*, ◇◇-AR*, ◇◇-AV*, ◇◇-AZ1*, ◇◇-AZ3*, ◇◇-AZ4*, ◇◇-AZ9*, ◇◇-CV*, ◇◇-EX*, ◇◇-IN*, ◇◇-LQ*, ◇◇-PA*, ◇◇-PB*, ◇◇-VBA*, ◇◇-VE*, ◇◇-VY*, ◇◇-XTO*, ◇◇-EAF*, ◇◇-EAK*, ◇◇-EAP*, ◇◇-EAR*, ◇◇-EAV*, ◇◇-EAZ1*, ◇◇-EAZ3*, ◇◇-EAZ4*, ◇◇-EAZ9*, ◇◇-ECV*, ◇◇-EEX*, ◇◇-EIN*, ◇◇-EPA*, ◇◇-EVBA*, ◇◇-EVE*, ◇◇-EVY*, ◇◇-EXTO*, ◇◇-NAF*, ◇◇-NAK*, ◇◇-NAP*, ◇◇-NAR*, ◇◇-NAV*, ◇◇-NAZ1*, ◇◇-NAZ3*, ◇◇-NAZ4*, ◇◇-NAZ9*, ◇◇-NCV*, ◇◇-NEX*, ◇◇-NIN*, ◇◇-NPA*, ◇◇-NVBA*, ◇◇-NVE*, ◇◇-NVY*, ◇◇-NXTO* 일체형 매니폴드 시스템 및 그 부품 20-VQ1000-*, 20-VQ2000-*, 25-SX3000-*, 25-SX5000-*, 25-SX7000-*, 25-SY3000-*, 25-SY5000-*, 25-SY7000-*, 25-SY9000-*, 25-VQ1000-*, 25-VQ2000-*, 80-VQ1000-*, 80-VQ2000-*, 90-SV2000-*, 90-SV4000-*, 90-SY5000-*, 90-VQ1000-*, 90-VQ1000-*, 90-VQ2000-*, BG-VFS1000-*, BG-VFS2000-*, BG-VFS3000-*, BG-VFS4000-*, BG-VFS5000-*, BG-VFS6000-*, BG-VZS2000-*, BG-VZS3000-*, BG-VZS4000-*, NVF2000-*, NVF4000-*, SJ2000-*, SJ3000-*, SQ1000-*, SQ2000-*, SS*, SV1000-*, SV2000-*, SV3000-*, SV4000-*, SX10-*, SY30M-*, SY5000-*, SY50M-*, SY50V-*, SY70M-*, SX100-*, SX3000-*, SX5000-*, SX7000-*, SY100-*, SY300-*, SY3000-*, SY7000-*, SY9000-*, SYJ300-*, SYJ500-*, SYJ700-*, SZ3000-*, V100-*, V200-*, V4000-*, VF3000-*, VF3000-*, VF4000-*, VFN3000-*, VFR2000-*, VFR3000-*, VFR4000-*, VFR5000-*, VFR6000-*, VFS2000-*, VFS3000-*, VFS4000-*, VFS5000-*, VFS6000-*, VG300-*, VHA200-*, VJ10-*, VJ100-*, VJ300-*, VJ3000-*, VK300-*, VK2000-*, VK3000-*, VK6000-*, VKF300-*, VP300-*, VP500-*, VP700-*, VQ0000-*, VQ100-*, VQ1000-*, VQ2000-*, VQ4000-*, VQD1000-*, VQ5001-*, VQZ100-*, VQZ1000-*, VQZ200-*, VQZ2000-*, VQZ300-*, VQZ3000-*, VV*, VZ100-, VZ1000-*, VZ2000-*, VZ3000-*, VZ200-*, VZ400-*, VZ4000-*, VZ5000-*, VZA200-*, VZA400-*, VZA2000-*, VZA3000-*, VZA400-*, VZA4000-*, VZA5000-*, VZS2000-*, VZS3000-*, VZS4000-*, VZS5000-*, ◇◇-SS*, ◇◇-VV* 공통 부품 ◇X*, ◇◇X*, ◇◇◇X*, ◇.◇X*, ◇◇.◇X*, ◇◇◇.◇X*, 0-*, 00-*, 111*, 112*, 113*, 123*, 134*, 14*, 14.4*, 190*, 24*, 340*, 341*, 343*, 345*, 52*, 62*, 69*, 92*, ◇◇-AXT*, ◇◇-EAXT*, A00-*, A01-*, A02-*, A03-*, A04-*, A05-*, A06-*, A07-*, A08-*, A09-*, A10-*, A11-*, A12-*, A13-*, A14-*, A15-*, A16-*, AA00*, AC00*, AD00*, AJC*, AN*, AP0*, AP3*, ARB*, AS2*, AS568*, ATX*, AXT*, AZ*, B1*, B2*, BA*, BB*, BC*, BG*, BP*, BT*, C-*, C18*, CA0*, CA1*, CAP*, CAXT*, CB*, CD*, CE*, COP*, CV3*, DA*, DB*, DD0*, DE0*, DF*, DG0*, D-O, DTX*, DX*, DXT*, DY*, DZ0*, DZ1*, DZ2*, DZ4*, DZ5*, E5*, EA0*, EAX*, EBK*, EBS*, EC0*, ECV*, ED0*, EE0*, EEX*, EF0*, EG0*, EH*, ETW*, EVV307-*, FA0*, FB0*, FC0*, FD0*, FE0*, FG0*, FH0*, FI0*, FJ0*, FK0*, FLO*, FM0*, FN0*, FQ0*, FR0*, FRT*, FS0*, FT0*, FU0*, FV0*, FW0*, FX0*, FY0*, FZ0*, G-*, G1*, G2*, G3*, G4*, GA0*, GB0*, GC0*, GD0*, GDM*, GEO*, GF0*, GM2*, GMN*, GPF*, GPR*, H25*, HA0*, HB0*, HC0*, HD0*, ID*, IM*, IS1*, JA*, JB*, JC*, JC0*, JD0*, JE0*, JG0*, JH0*, JIS*, JJ0*, JK0*, J-S*, K-*, K3*, K8*, KA0*, KB0*, KC0*, KD0*, KE0*, KF0*, KG0*, KH0*, KJ0*, KJ2*, KK0*, KL0*, KNL*, KQ2P*, KQA*, KQE*, KT-*, KT1-*, KT2-*, LA0*, LB0*, LC0*, LC1*, LC2*, LC4*, LC5*, LD0*, LDC*, LDP1*, LE0*, LF0*, LG-*, LG0*, LK0*, LL0*, LM0*, LM2*, LN0*, LP0*, LQ-*, LQ0*, LR*, LR0*, LT0*, LU0*, LX0*, LY0*, LZ0*, M0*, M1*, M2*, M3*, M4*, M5*, M6*, M7*, M8*, MA0*, MB0*, MB2*, MBF*, MBS*, MC0*, MD0*, ME0*, MF0*, MG*, MH0*, MJ0*, MK0*, ML0*, MM0*, MN0*, MP0*, MP2*, MP3*, MR0*, MS0*, MT0*, MY-*, MYN-*, NA0*, NAXT*, NB0*, NC0*, ND0*, NE0*, NF0*, NF3*, NG0*, NH0*, NI*, NJ0*, NK0*, NL0*, NPT*, NVV*, NXT*, O-*, OR-*, P-*, P1*, P2*, P3*, P4*, P5*, P6*, P7*, P8*, PB*, PC*, PD*, PE*, PF*, PG*, PH*, PI*, PJ*, PLUG*, PT*, PT1*, PT2*, PT3*, PV*, QA*, QB*, QC*, QD*, QE*, QF*, QG*, R1*, R2*, R3*, RA0*, RB0*, RC0*, RC1*, RC3*, RD0*, RE0*, RF0*, RH0*, RTW*, SA-*, SA0*, SB0*, SC0*, SCA*, SCW*, SCZ*, SI-*, SMC*, SO*, SPA*, SPF*, SPO*, SPZ*, SRT*, STW-*, T-*, TA0*, TA-*, TB0*, TC0*, TMH*, TP-*, TX*, U1*, UA0*, U-PVC*, V01*, V03*, V4*, VA0*, VAW*, VB*, VC0*, VF0*, VF2-*, VH0*, VJ0*, VK0*, VM-*, VQ70*, VS0*, VS1-*, VZ0*, WA0*, WB0*, WC0*, WD0*, WE0*, WG0*, WZ0*, X3*, XT0*, XT1*, XT2*, XT9*, Y◇00*, YRS*, Z-*, ZA0*, ZB0*, ZH-*, ZK*, ZPT*, ZS-*, *PLUG*, *NBR*, *FKM*, *-PS 방폭형 밸브 50-*, 51-*, 52-*, 53-*, 56-* 보조 밸브 VHK*, VHS*, VR*, EVHK*, EVHS*, EVR*, NVHK*, NVHS*, NVR*, ◇◇-VHK*, ◇◇-VHS*, ◇◇-VR*, ◇◇-EVHK*, ◇◇-EVHS*, ◇◇-EVR*, ◇◇-NVHK*, ◇◇-NVHS*, ◇◇-NVR* 비고: ◇는 한자리 수의 숫자, *는 임의의 숫자 또는 문자(%, #, - 등 기호를 포함하며, 숫자 또는 문자의 수는 제한하지 않는다) 2. 회사명: 씨케이디(CKD Corporation) 품목 덤핑방지관세 부과제외 모델 일체형 매니폴드 시스템 M3M*, B*P51*, N*P51*, M3P*, M3K*, M4K*, MN4K*, MN3E*, MN4E*, MN*G*, MN3Q*, M3G*, M4G*, MW3G*, MW4G*, M3S*, M4S*, MN3S*, MN4S*, MT3S*, MT4S*, M4TB*, MN4TB*, AM4F*, M4F* 2포트 밸브 AMD*, LMD*, GAMD*, TMD*, LYX*, MAB*, MYB*, MEB*, MJB*, EMB*, HMTB*, UMB*, CVE2*, CVSE2*, GCVE*, GCVSE, FLB*, FWB*, SAB*W, SVB*W, SAB*S, SVB*S, RSV*, GSV*, SPK*, AGD*, MAGD*, IAGD*, LGD*, MGD*, MMGD*, MOGD*, OGD*, PGM, FHB*, AMS*, FMD*, PMM*, PMP*, PYM*, HB*, CHB*, FWD11, MHB4, MWD*, MXB*, PKW, SWD*, A2, MSB1, PKS, PVS, NPV*, HPV*, PD*, PJVB, CCH, DSG*, GASB, GAV, GHV, HK1, HS, MN, TAC, VLA, VLM, VNA, VNM, VNR, C25N, GMMD*, GFWB*, GFLB*, HYN, MR10-2*, NAB*W, NAB*S, LLO, WHL*, PJ, B512*, EXA, FAB, FAPG*, M512*, P512*, PKA, NAB*V, FGB*, GFGB*, LAD*, HNB1, USB*, NAB*, NAD*, SAB*A, SVB*A, SAB*V, SVB*V, AB3*, AB4*, APK*, AP*, ADK*, AB2*, AB71, AD*, MHB3, B*P512*, N*P512*, GEXA, GFAB*, GAB*, GFGB*, GNAB*, GNAD* 보조 밸브 및 수동 밸브 보조 밸브 2QV, 3QV, SHV2, AC, CHV2, FPV, QEV2, QEL, MHG3, XVA, V1000, V3000, V3010 수동 밸브 H*V*2, MAVL, MS*, MM* 초진공 밸브 AVB*, MVB*, MVP*, AVC, EVB*, HVB*, HVL*, FVB*, NAB*V, NAD*V, SVB*V, SAB*V, VEC, VYX 압축 공기를 유체로 하지 않는 밸브 HNG1, FEG*, HAG, HG*, MEG*, MYG*, MAG*, HMTG*, UMG, CHG, CSB*, FWG*, MHG4, MXG*, SVG*, USG*, AMG*, GFWG*, N513*, MHG3, MV3QR*, 3QR*, M3QR*, 3QB*, CVE3, CVSE3 부품 N3Q0*, N51*, N4K*, N3G*, N4G*, NW3G*, NW4G*, N3S*, N4S*, N4T*, N3E*, N4E*, 3M-*, 3M□-*, 3P-*, 3P□-*, 3P□□-*, 4K-*, 4K□-*, 4K□□-*, 4G-*, 4G□-*, W4G-*, W4G□-*, 4S-*, 4S□-*, B4S*, LMF*, 4L□-*, TMF*, 4T-*, 4T□-*, CM*, GM*, CB*, 4F-*, 4F□-*, *KIT*, *ASSY*, *BOX* 방폭형 밸브 AB*E*, AD*E*, ADK*E*, AP*E*, PDVE4, PVSE*, AG*E*, 4F*E*, M4F*E* 비고: □는 한자리 수의 숫자 또는 문자, *는 임의의 숫자 또는 문자(%, #, - 등 기호를 포함하며, 숫자 또는 문자의 수는 제한하지 않는다) 3. 회사명: 토요오키(Toyooki kogyo Co., Ltd.), 고가네이(KOGANEI Corporation), 로스(ROSS ASIA K.K.), 아즈빌(AZBIL TA Co., Ltd) 품목 제조사 덤핑방지관세 부과제외 모델 기계식 프레스용 밸브 토요오키 AD-0410*, AD-0610*, AD-0810*, AD-SL041*, AD-SL122*, AD-SL131*, AD-SL221*, AD-SL222*, AD-SL223*, AD-SL231*, AD-SL231D*, AD-SL236* 로스 J277, J3573 아즈빌 26*, MVS3500 보조밸브 고가네이 CVS, CVR, CVU, CVUD, C1, C125, C250, C375, C500, S125, S250, SQE*, QE* 비고: *는 임의의 숫자 또는 문자(%, #, - 등 기호를 포함하며, 숫자 또는 문자의 수는 제한하지 않는다)</t>
  </si>
  <si>
    <t>M082</t>
  </si>
  <si>
    <t>인도산 초산에틸에 대한 덤핑방지관세의 부과에 관한 규칙</t>
  </si>
  <si>
    <t>2015-11-19</t>
  </si>
  <si>
    <t>2015-11-19 제정</t>
  </si>
  <si>
    <t>제2조(부과대상 물품) 덤핑방지관세가 부과되는 물품은 인도산 초산에틸(관세율표 번호 제2915.31호에 해당하는 것을 말한다)로 한다.</t>
  </si>
  <si>
    <t>M083</t>
  </si>
  <si>
    <t>중국ㆍ일본 및 싱가포르산 초산에틸에 대한 덤핑방지관세의 부과에 관한 규칙</t>
  </si>
  <si>
    <t>제2조(부과대상 물품) 덤핑방지관세가 부과되는 물품은 중국ㆍ일본 및 싱가포르산 초산에틸(관세율표 번호 제2915.31호에 해당하는 것을 말한다)로 한다.</t>
  </si>
  <si>
    <t>M084</t>
  </si>
  <si>
    <t>2016-01-13</t>
  </si>
  <si>
    <t>2016-01-13 제정</t>
  </si>
  <si>
    <t>제2조(부과 대상 물품) 덤핑방지관세가 부과되는 물품은 중국 및 인도산 폴리에틸렌 테레프탈레이트(Polyethylene terephthalate, PET) 필름(관세율표 번호 제3920.62호, 제3920.69호에 해당하는 것을 말한다)으로 한다. 다만, 별표 1에 따른 물품은 제외한다.</t>
  </si>
  <si>
    <t>[별표 1] 덤핑방지관세 부과 대상에서 제외되는 물품(제2조 단서 관련) 1. 두께가 9㎛ 미만으로서 증착되지 않은 폴리에틸렌 테레프탈레이트 필름 2. 비냉매용 모터 절연용(絶緣用)으로 사용되는 두께 125㎛ 이상인 흰색의 폴리에틸렌 테레프탈레이트 필름으로서 다음 각 목의 요건을 모두 갖춘 것 가. 규격 미국 Underwriters Laboratory Inc.가 지정한 시험방식에 따라 측정한 전기적 및 기계적 내열성(Relative Thermal Index, RTI)이 각각 섭씨 105도 이상이고 흐림도(Haze)가 70퍼센트 이상일 것 나. 모델명 Garfilm EM6(인도 Garware Polyester Limited 제품), J-470(인도 Jindal Polyfilms Limited 제품) 등 3. 냉매용 모터 절연용으로 사용되는 두께 125㎛ 이상인 흰색의 폴리에틸렌 테레프탈레이트 필름으로서 다음 각 목의 요건을 모두 갖춘 것 가. 규격 미국 Underwriters Laboratory Inc.가 지정한 시험방식에 따라 측정한 전기적 및 기계적 내열성이 각각 섭씨 140도, 125도 이상이고 소중합체(Oligomer) 추출비율이 0.65퍼센트 이하이며 흐림도가 75퍼센트 이상일 것 나. 모델명 Garfilm EM6-L.O.(인도 Garware Polyester Limited 제품) 등 4. 홀로그램 PET 필름 5. 안료를 다른 원재료에 배합하여 생산한 유채색(有彩色)의 PET필름으로서 두께 300㎛ 이상인 것</t>
  </si>
  <si>
    <t>M085</t>
  </si>
  <si>
    <t>중국산 침엽수 합판에 대한 덤핑방지관세의 부과에 관한 규칙</t>
  </si>
  <si>
    <t>2016-03-11</t>
  </si>
  <si>
    <t>2016-03-11 제정</t>
  </si>
  <si>
    <t>제2조(부과대상 물품) 덤핑방지관세가 부과되는 물품은 셋 이상의 단판(ply)을 적층ㆍ접착한 중국산 합판(관세율표 번호 4412.39호 또는 제4412.99호에 해당하는 것을 말한다)으로서 다음 각 호의 요건을 모두 갖춘 것으로 한다. 1. 전체 두께가 6밀리미터(mm) 이상일 것 2. 양쪽 외면의 단판이 침엽수 목재일 것 3. 하나 이상의 단판의 섬유의 방향이 다른 단판의 섬유의 방향과 교차할 것</t>
  </si>
  <si>
    <t>M086</t>
  </si>
  <si>
    <t>미국 및 프랑스산 부틸글리콜에테르에 대한 덤핑방지관세의 부과에 관한 규칙</t>
  </si>
  <si>
    <t>2016-12-06</t>
  </si>
  <si>
    <t>2016-12-06 제정</t>
  </si>
  <si>
    <t>제2조(부과대상 물품) 덤핑방지관세가 부과되는 물품은 미국 및 프랑스산 부틸글리콜에테르(「관세법 시행령」 제98조제1항에 따른 관세ㆍ통계통합품목분류표 번호 제2909.43.0000호에 해당하는 것을 말한다)로 한다.</t>
  </si>
  <si>
    <t>M087</t>
  </si>
  <si>
    <t>일본산 스테인리스스틸 후판에 대한 덤핑방지관세의 부과에 관한 규칙</t>
  </si>
  <si>
    <t>제2조(부과대상 물품) 덤핑방지관세가 부과되는 물품은 일본산 스테인리스스틸 후판(「관세법 시행령」 제98조제1항에 따른 관세ㆍ통계통합품목분류표 번호 제7219.21.1010호, 제7219.21.1090호, 제7219.21.9000호, 제7219.22.1010호, 제7219.22.1090호 및 제7219.22.9000호에 해당하는 것을 말한다) 중 다음 각 호의 요건을 모두 갖춘 것으로 한다. 다만, 별표에 규정된 물품은 제외한다. 1. 스테인리스강(탄소의 함유량이 전체 중량의 100분의 1.2 이하이고 크롬의 함유량이 전체 중량의 100분의 10.5 이상인 합금강을 말한다)일 것 2. 두께가 8밀리미터 이상 80밀리미터 이하이고 너비가 1천밀리미터 이상 3천270밀리미터 이하인 열간압연(熱間壓延) 강판일 것 3. 압연, 열처리, 냉각 및 후처리과정[교정, 절단, 산세(酸洗) 및 포장을 말한다]을 거친 완제품으로서 코일형태의 제품이 아닌 것</t>
  </si>
  <si>
    <t>덤핑방지관세 부과대상에서 제외되는 물품(제2조 각 호 외의 부분 단서 관련) 1. Nippon Yakin Kogyo Co., Ltd에서 공급하는 공급자 기호 NAS 800[이 규 칙 시행일 현재의 일본공업규격(Japanese Industrial Standards, 이하 "JIS" 라 한다)의 NCF 800에 해당한다] 강종(鋼種)인 것 2. JIS의 SUS 410 강종인 것 3. JIS의 SUS 329J4L(공급자 기호 NAS 64를 포함한다) 강종인 것 4. JIS의 SUS 836L 강종인 것 5. 이 규칙 시행일 현재의 미국재료시험협회(American Society for Testing Materials, 이하 "ASTM"이라 한다)의 410S 또는 JIS의 SUS 410S 강종인 것 6. ASTM의 S82122[Nippon Steel &amp; Sumikin Stainless Steel Corporation(이 하 "신일철주금"이라 한다)의 고유강종 NSSC 2120을 포함한다] 강종인 것 7. ASTM의 N08904 강종인 것 8. ASTM의 S31254 강종인 것 9. ASTM의 S32760 강종인 것 10. ASTM의 S 32750(공급자 기호 NAS 74N을 포함한다) 강종인 것 11. 공급자 기호 NAS 800H(JIS의 NCF 800H에 해당한다) 강종인 것 12. 공급자 기호 NAS 255(JIS의 SUS 890L에 해당한다) 강종인 것 13. 공급자 기호 NAS 185N(JIS의 SUS 312L에 해당한다) 강종인 것 14. 공급자 기호 NAS 800T[이 규칙 시행일 현재의 미국통일규격부여시스템 (Unified Numbering System, 이하 "UNS No."라 한다)의 N 08811에 해당 한다] 강종인 것 15. 공급자 기호 NAS 254NM(UNS No. N 08367에 해당한다) 강종인 것 16. 공급자 기호 NAS 255NM(UNS No. N 08926에 해당한다) 강종인 것 17. 공급자 기호 NAS 75N(UNS No. S 32760에 해당한다) 강종인 것 18. 신일철주금의 고유 강종(NSSC 409L) 중 다음 각 목의 요건을 모두 갖춘 것 가. 탄소 함유량이 전체 중량의 0.03% 이하일 것 나. 규소 함유량이 전체 중량의 1.00% 이하일 것 다. 망간 함유량이 전체 중량의 1.00% 이하일 것 라. 인 함유량이 전체 중량의 0.04% 이하일 것 마. 황 함유량이 전체 중량의 0.03% 이하일 것 [별표] 바. 크롬 함유량이 전체 중량의 10.50% 이상 11.45% 이하일 것 사. 티타늄 함유량이 전체 중량의 0.75% 이하(하한치는 탄소 함유량의 6배 이상)일 것 19. 신일철주금의 고유 강종(NSSC DP-28W) 중 다음 각 목의 요건을 모두 갖춘 것 가. 탄소 함유량이 전체 중량의 0.03% 이하일 것 나. 규소 함유량이 전체 중량의 0.50% 이하일 것 다. 망간 함유량이 전체 중량의 1.10% 이하일 것 라. 인 함유량이 전체 중량의 0.03% 이하일 것 마. 황 함유량이 전체 중량의 0.01% 이하일 것 바. 니켈 함유량이 전체 중량의 7.00% 이상 8.20% 이하일 것 사. 크롬 함유량이 전체 중량의 27.00% 이상 27.90% 이하일 것 아. 몰리브덴 함유량이 전체 중량의 0.80% 이상 1.20% 이하일 것 자. 질소 함유량이 전체 중량의 0.30% 이상 0.40% 이하일 것 차. 텅스텐 함유량이 전체 중량의 2.10% 이상 2.50% 이하일 것 20. 신일철주금의 고유 강종(NSSC DP-3) 중 다음 각 목의 요건을 모두 갖춘 것 가. 탄소 함유량이 전체 중량의 0.03% 이하일 것 나. 규소 함유량이 전체 중량의 0.75% 이하일 것 다. 망간 함유량이 전체 중량의 1.10% 이하일 것 라. 인 함유량이 전체 중량의 0.03% 이하일 것 마. 황 함유량이 전체 중량의 0.03% 이하일 것 바. 니켈 함유량이 전체 중량의 5.50% 이상 7.50% 이하일 것 사. 크롬 함유량이 전체 중량의 24.00% 이상 26.00% 이하일 것 아. 몰리브덴 함유량이 전체 중량의 2.50% 이상 3.50% 이하일 것 자. 질소 함유량이 전체 중량의 0.10% 이상일 것 차. 구리 함유량이 전체 중량의 0.20% 이상 0.80% 이하일 것 카. 텅스텐 함유량이 전체 중량의 0.10% 이상 0.50% 이하일 것 21. 신일철주금의 고유 강종(NSSC AH-4) 중 다음 각 목의 요건을 모두 갖춘 것 가. 탄소 함유량이 전체 중량의 0.05% 이상 0.10% 이하일 것 나. 규소 함유량이 전체 중량의 1.00% 이하일 것 다. 망간 함유량이 전체 중량의 1.00% 이하일 것 라. 인 함유량이 전체 중량의 0.04% 이하일 것 마. 황 함유량이 전체 중량의 0.03% 이하일 것 바. 니켈 함유량이 전체 중량의 10.00% 이상 12.00% 이하일 것 사. 크롬 함유량이 전체 중량의 22.00% 이상 24.00% 이하일 것 아. 질소 함유량이 전체 중량의 0.18% 이상 0.25% 이하일 것 자. 란타넘, 세륨 함유량의 합이 전체 중량의 0.03% 이상 0.07% 이하일 것 22. 신일철주금의 고유 강종(NSSC 260) 중 다음 각 목의 요건을 모두 갖춘 것 가. 탄소 함유량이 전체 중량의 0.03% 이하일 것 나. 규소 함유량이 전체 중량의 1.50% 이하일 것 다. 망간 함유량이 전체 중량의 2.00% 이하일 것 라. 인 함유량이 전체 중량의 0.04% 이하일 것 마. 황 함유량이 전체 중량의 0.03% 이하일 것 바. 니켈 함유량이 전체 중량의 13.50% 이상 16.50% 이하일 것 사. 크롬 함유량이 전체 중량의 18.50% 이상 21.50% 이하일 것 아. 몰리브덴 함유량이 전체 중량의 2.50% 이상 3.50% 이하일 것 자. 질소 함유량이 전체 중량의 0.16% 이상 0.24% 이하일 것 차. 구리 함유량이 전체 중량의 1.00% 이상 2.00% 이하일 것 23. 신일철주금의 고유 강종(NSSC 270) 중 다음 각 목의 요건을 모두 갖춘 것 가. 탄소 함유량이 전체 중량의 0.02% 이하일 것 나. 규소 함유량이 전체 중량의 0.80% 이하일 것 다. 망간 함유량이 전체 중량의 1.00% 이하일 것 라. 인 함유량이 전체 중량의 0.03% 이하일 것 마. 황 함유량이 전체 중량의 0.015% 이하일 것 바. 니켈 함유량이 전체 중량의 17.50% 이상 19.50% 이하일 것 사. 크롬 함유량이 전체 중량의 19.00% 이상 21.00% 이하일 것 아. 몰리브덴 함유량이 전체 중량의 6.00% 이상 7.00% 이하일 것 자. 질소 함유량이 전체 중량의 0.16% 이상 0.25% 이하일 것 차. 구리 함유량이 전체 중량의 0.50% 이상 1.00% 이하일 것 24. 신일철주금의 고유강종(NSSC SN-1) 중 다음 각 목의 요건을 모두 갖춘 것 가. 탄소 함유량이 전체 중량의 0.02% 이하일 것 나. 규소 함유량이 전체 중량의 3.90% 이상 4.70% 이하일 것 다. 망간 함유량이 전체 중량의 1.50% 이하일 것 라. 인 함유량이 전체 중량의 0.03% 이하일 것 마. 황 함유량이 전체 중량의 0.03% 이하일 것 바. 몰리브덴 함유량이 전체 중량의 0.50% 이하일 것 사. 구리 함유량이 전체 중량의 0.50% 이하일 것 아. 니켈 함유량이 전체 중량의 13.00% 이상 15.50% 이하일 것 자. 크롬 함유량이 전체 중량의 16.50% 이상 18.50% 이하일 것 25. 이 규칙 시행일 현재의 미국기계학회(American Society of Mechanical Engineers, 이하 "ASME"라 한다)의 S31254 강종인 것 26. ASME의 N08904 강종인 것 27. ASME의 S32760 강종인 것 28. 이 규칙 시행일 현재의 노르웨이해양산업규격(Norsk Sokkels Konkuranseposisjon, 이하 "NORSOK"라 한다)의 S31254 강종인 것 29. NORSOK의 S32750 강종인 것</t>
  </si>
  <si>
    <t>M088</t>
  </si>
  <si>
    <t>2017-05-08</t>
  </si>
  <si>
    <t>2017-05-08 제정</t>
  </si>
  <si>
    <t>제2조(부과대상 물품) 덤핑방지관세가 부과되는 물품은 말레이시아산 합판(「관세법 시행령」 제98조제1항에 따른 관세ㆍ통계통합품목분류표 번호 제4412.31호, 제4412.33호 또는 제4412.34호에 해당하는 것을 말한다) 중 두께가 6밀리미터(㎜) 이상인 것으로 한다.</t>
  </si>
  <si>
    <t>M089</t>
  </si>
  <si>
    <t>제2조(부과대상 물품) 덤핑방지관세가 부과되는 물품은 중국산 합판(「관세법 시행령」 제98조제1항에 따른 관세ㆍ통계통합품목분류표 번호 제4412.31호, 제4412.33호 또는 제4412.34호에 해당하는 것을 말한다) 중 두께가 6밀리미터(㎜) 이상인 것으로 한다.</t>
  </si>
  <si>
    <t>M090</t>
  </si>
  <si>
    <t>2017-06-02</t>
  </si>
  <si>
    <t>2017-06-02 제정</t>
  </si>
  <si>
    <t>제2조(부과대상 물품) 덤핑방지관세가 부과되는 물품은 일본ㆍ인도 및 스페인산 스테인리스 스틸바(「관세법 시행령」 제98조제1항에 따른 관세ㆍ통계통합품목분류표 번호 제7222.11.0000호, 제7222.19.0000호, 제7222.20.0000호, 제7222.30.0000호) 중 다음 각 호의 어느 하나에 해당하는 것으로 한다. 다만, 별표 1에 규정된 물품은 제외한다. 1. 가운데에 구멍이 없는 원형강(Round Bar): 지름이 600㎜ 이하인 것 2. 각강(Square Bar): 대변거리가 4.5㎜ 이상 40㎜ 이하인 것 3. 육각강(Hexagonal Bar): 대변거리가 5㎜ 이상 40㎜ 이하인 것 4. 평강(Flat Bar): 두께가 25㎜ 이상 150㎜ 이하이고 너비가 150㎜ 이상 600㎜ 이하인 것. 다만, 두께가 100㎜ 초과 150㎜ 이하이고 너비가 150㎜ 이상 210㎜ 이하인 것은 제외한다.</t>
  </si>
  <si>
    <t>다만, 별표 1에 규정된 물품은 제외한다. 1. 가운데에 구멍이 없는 원형강(Round Bar): 지름이 600㎜ 이하인 것 2. 각강(Square Bar): 대변거리가 4.5㎜ 이상 40㎜ 이하인 것 3. 육각강(Hexagonal Bar): 대변거리가 5㎜ 이상 40㎜ 이하인 것 4. 평강(Flat Bar): 두께가 25㎜ 이상 150㎜ 이하이고 너비가 150㎜ 이상 600㎜ 이하인 것. 다만, 두께가 100㎜ 초과 150㎜ 이하이고 너비가 150㎜ 이상 210㎜ 이하인 것은 제외한다.</t>
  </si>
  <si>
    <t>[별표 1] 덤핑방지관세 부과대상에서 제외되는 물품(제2조 단서 관련) 1. 내열강 JIS의 SUH1/1HT, SUH3/3HT, SUH11/11HT, SUH35, 21-2N, 21-12 N(SUH37), 23-8N, 21-4NNbW 규격인 것 2. 니켈합금강 및 전자스테인리스강(Electromagnetic stainless steel) 3. LNG선박 건조용 스테인리스스틸 평강(SUS304)으로서 규격[두께(㎜) × 너 비(㎜)×길이(㎜)]이 12×55×6,000, 16×55×6,000인 것 4. 합성섬유방사 노즐용으로서 원형강(SUS-630KN) 중 그 경도가 HRC 34～38 이고 지름이 30㎜ 이상 600㎜ 이하인 것과 사각강(SUS-630KN) 중 그 경도가 HRC 35～40인 것 5. 다음 각 목의 어느 하나에 해당하는 것 가. 관 이음쇠 및 유압용 육각강(SUS316) 중 그 경도가 HRC 21∼23이고, 허 용공차가 H11이며, 대변거리(단위: ㎜)가 7.9, 9.5, 11.1, 12.0, 12.7, 14.0, 14. 2, 15.0, 15.8, 16.0, 17.0, 17.4, 18.0, 19.1, 20.6, 22.0, 22.2, 23.8, 24.0, 25.0, 25. 4, 26.9, 28.5, 30.0, 31.7, 32.0, 33.3, 34.9, 36.0 또는 38.1인 것 나. 스테인리스스틸 원형강(SUS316) 중 그 경도가 HRC 24∼28이고, 허용공 차가 H9이며, 지름(단위: ㎜)이 6.0, 10.0, 12.0, 13.0, 14.0, 16.0, 18.0, 20.0, 23.0, 26.0, 29.0, 30.0, 32.0, 35.0, 40.0, 42.0 또는 50.8인 것 6. 가솔린 자동차 연료펌프모터 샤프트(Shaft)용 원형강(SUS440C)으로서 지름 5.1㎜, 길이 2,000㎜, 직경공차 ±0.02㎜ 이내, 진직도 ±0.018㎜ 이내, 진원도 0.0 12㎜ 이내, 표면거칠기 3.2z 이내 및 표면경도 HRB96(Max)인 것 7. 자동차 연료조절기밸브용 원형강(SUS420F)으로서 규격[지름(㎜)×길이(㎜)]이 7.1(＋0.05/－0)×2,500(＋30/－0) 또는 11.5(＋0.05/－0)×2,500(＋30/－0)인 것 8. 자동차 및 유공압 솔레노이드밸브용 쾌삭스테인리스 스틸바 원형강(ASK32 00)으로서 지름이 8㎜ 이하인 것 9. 전자부품 가공용 쾌삭스테인리스 스틸바 원형강(ASK3000U)으로서 지름이 1㎜ 이상 4㎜ 이하인 것 10. SUS316L 계열의 원형강 중 고청정 반도체 제조설비에 사용되는 밸브 및 배관부품용으로 2회 이상의 용해 또는 정련 공정을 거친 것으로서 다음 각 목의 요건을 모두 갖춘 것 가. 탄소 함유량이 전체중량의 0.01% 이하일 것 나. 규소의 함유량이 전체중량의 0.15% 이하일 것 다. 망간의 함유량이 전체중량의 0.05% 이하일 것 라. 황의 함유량이 전체중량의 0.002% 이하일 것 마. 질소의 함유량이 전체중량의 0.015% 이하일 것 바. 산소의 함유량이 전체중량의 0.0015% 이하일 것 사. 니켈의 함유량이 전체중량의 14.5% 이상 15.0% 이하일 것 아. 크롬의 함유량이 전체중량의 16.5% 이상 17.0% 이하일 것 자. 몰리브덴의 함유량이 전체중량의 2.20% 이상 2.25% 이하일 것 11. SUS316L 계열의 원형강 중 고청정 반도체 제조설비에 사용되는 밸브 및 배관부품용으로 2회 이상의 용해 또는 정련 공정을 거친 것으로서 다음 각 목의 요건을 모두 갖춘 것 가. 탄소 함유량이 전체중량의 0.01% 이하일 것 나. 규소의 함유량이 전체중량의 0.30% 이하일 것 다. 망간의 함유량이 전체중량의 0.40% 이하일 것 라. 황의 함유량이 전체중량의 0.003% 이하일 것 마. 질소의 함유량이 전체중량의 0.015% 이하일 것 바. 산소의 함유량이 전체중량의 0.0015% 이하일 것 사. 니켈의 함유량이 전체중량의 14.5% 이상 15.0% 이하일 것 아. 크롬의 함유량이 전체중량의 16.5% 이상 17.0% 이하일 것 자. 몰리브덴의 함유량이 전체중량의 2.20% 이상 2.50% 이하일 것 12. 평강(Flat Bar) 중 다음 각 목의 어느 하나에 해당하는 것 가. 두께가 9㎜ 이상 13㎜ 이하이고 너비가 15㎜ 이상 100㎜ 이하인 것 나. 두께가 13㎜ 이상 20㎜ 이하이고 너비가 15㎜ 이상 150㎜ 이하인 것</t>
  </si>
  <si>
    <t>M091</t>
  </si>
  <si>
    <t>중국산 인쇄제판용 평면 모양 사진플레이트에 대한 덤핑방지관세 부과에 관한 규칙</t>
  </si>
  <si>
    <t>2017-09-07</t>
  </si>
  <si>
    <t>2017-09-07 제정</t>
  </si>
  <si>
    <t>제2조(부과대상 물품) 덤핑방지관세가 부과되는 물품은 중국산 인쇄제판용 평면 모양 사진플레이트(「관세법 시행령」 제98조제1항에 따른 관세ㆍ통계통합품목분류표 번호 제3701.30.9100호에 해당하는 것을 말한다) 중 다음 각 호의 요건을 모두 갖춘 것으로 한다. 다만, 포토폴리머 바이올렛판(Photopolymer Violet Plate), 재생판 및 더블레이어판(Double-layer Plate)은 제외한다. 1. 알루미늄판의 표면을 전기ㆍ화학적으로 연마하여 산화막을 형성한 후 표면에 감광재를 도포한 감광성 인쇄용 판일 것 2. 각 변의 길이가 255밀리미터(㎜)를 초과할 것</t>
  </si>
  <si>
    <t>다만, 포토폴리머 바이올렛판(Photopolymer Violet Plate), 재생판 및 더블레이어판(Double-layer Plate)은 제외한다. 1. 알루미늄판의 표면을 전기ㆍ화학적으로 연마하여 산화막을 형성한 후 표면에 감광재를 도포한 감광성 인쇄용 판일 것 2. 각 변의 길이가 255밀리미터(㎜)를 초과할 것</t>
  </si>
  <si>
    <t>M092</t>
  </si>
  <si>
    <t>베트남ㆍ우크라이나 및 인도산 페로실리코망간에 대한 덤핑방지관세 부과에 관한 규칙</t>
  </si>
  <si>
    <t>2017-11-29</t>
  </si>
  <si>
    <t>2017-11-29 제정</t>
  </si>
  <si>
    <t>제2조(부과대상 물품) 덤핑방지관세가 부과되는 물품은 베트남ㆍ우크라이나 및 인도산 페로실리코망간(「관세법 시행령」 제98조제1항에 따른 관세ㆍ통계통합품목분류표 번호 제7202.30.0000호에 해당하는 것을 말한다)으로 한다.</t>
  </si>
  <si>
    <t>M093</t>
  </si>
  <si>
    <t>대만ㆍ태국 및 아랍에미리트연합산 폴리에틸렌 테레프탈레이트 필름에 대한 덤핑방지관세 부과에 관한 규칙</t>
  </si>
  <si>
    <t>2018-04-30</t>
  </si>
  <si>
    <t>2018-04-30 제정</t>
  </si>
  <si>
    <t>제2조(부과대상 물품) 덤핑방지관세가 부과되는 물품은 대만ㆍ태국 및 아랍에미리트연합산 폴리에틸렌 테레프탈레이트(Polyethylene Terephthalate, PET) 필름(「관세법 시행령」 제98조제1항에 따른 관세ㆍ통계통합품목분류표 번호 제3920.62.0000호 또는 3920.69.0000호에 해당하는 것을 말한다) 중 다음 각 호의 어느 하나에 해당하는 것으로 한다. 다만, 금속으로 증착(蒸着)된 물품 또는 유채색 물품은 제외한다. 1. 코팅되지 않은 물품 2. 코팅된 물품으로서 코팅 두께의 합이 0.25마이크로미터(㎛) 이하인 것</t>
  </si>
  <si>
    <t>다만, 금속으로 증착(蒸着)된 물품 또는 유채색 물품은 제외한다. 1. 코팅되지 않은 물품 2. 코팅된 물품으로서 코팅 두께의 합이 0.25마이크로미터(㎛) 이하인 것</t>
  </si>
  <si>
    <t>M094</t>
  </si>
  <si>
    <t>일본ㆍ중국 및 핀란드산 도공(Coated) 인쇄용지에 대한 덤핑방지관세 부과에 관한 규칙</t>
  </si>
  <si>
    <t>2018-07-22</t>
  </si>
  <si>
    <t>2022-01-01 타법개정</t>
  </si>
  <si>
    <t>제2조(부과대상 물품) 덤핑방지관세가 부과되는 물품은 일본ㆍ중국 및 핀란드산 도공(Coated) 인쇄용지(「관세법 시행령」 제98조제1항에 따른 관세ㆍ통계통합품목분류표 번호 제4810.13.1000호, 제4810.14.0000호, 제4810.19.1000호, 제4810.19.9000호, 제4810.22.0000호, 제4810.29.0000호에 해당하는 것을 말한다) 중 1제곱미터당 중량이 55그램 초과 110그램 이하인 제품으로 한다. &lt;개정 2021. 12. 31.&gt;</t>
  </si>
  <si>
    <t>제2조(부과대상 물품) 덤핑방지관세가 부과되는 물품은 일본ㆍ중국 및 핀란드산 도공(Coated) 인쇄용지(「관세법 시행령」 제98조제1항에 따른 관세ㆍ통계통합품목분류표 번호 제4810.13.1000호, 제4810.14.1000호, 제4810.19.1000호, 제4810.19.9000호, 제4810.22.0000호, 제4810.29.0000호에 해당하는 것을 말한다) 중 1제곱미터당 중량이 55그램 초과 110그램 이하인 제품으로 한다.</t>
  </si>
  <si>
    <t>M095</t>
  </si>
  <si>
    <t>중국산 아연도금철선에 대한 덤핑방지관세 부과에 관한 규칙</t>
  </si>
  <si>
    <t>2018-08-14</t>
  </si>
  <si>
    <t>2018-08-14 제정</t>
  </si>
  <si>
    <t>제2조(부과대상 물품) 덤핑방지관세가 부과되는 물품은 중국산 아연도금철선[「관세법 시행령」 제98조제1항에 따른 관세ㆍ통계통합품목분류표 번호(이하 이 조에서 “품목분류표”라 한다) 제7217.20.0000호 및 제7229.90.9090호에 해당하는 것을 말한다] 중 다음 각 호의 요건을 모두 갖춘 것으로 한다. 1. 철이나 비합금강 또는 저합금강(합금원소 함유량의 합이 전체 중량의 8퍼센트 미만인 품목분류표에 따른 그 밖의 합금강을 말한다)에 아연을 용융(熔融) 도금하거나 전기 도금한 것일 것 2. 탄소함유량이 전체 중량의 0.25퍼센트 미만일 것</t>
  </si>
  <si>
    <t>M096</t>
  </si>
  <si>
    <t>2018-08-31</t>
  </si>
  <si>
    <t>2018-08-31 제정</t>
  </si>
  <si>
    <t>제2조(부과대상 물품) 덤핑방지관세가 부과되는 물품은 미국ㆍ말레이시아ㆍ태국 및 일본산 에탄올아민(Ethanolamine, 「관세법 시행령」 제98조에 따른 관세ㆍ통계통합품목분류표 번호 제2922.11.1000호, 제2922.12.1000호, 제2922.15.0000호에 해당하는 것을 말한다)으로 한다.</t>
  </si>
  <si>
    <t>M097</t>
  </si>
  <si>
    <t>제2조(부과대상 물품) 덤핑방지관세가 부과되는 물품은 플로트공법으로 생산된 중국산 플로트판유리(「관세법 시행령」 제98조에 따른 관세ㆍ통계통합품목분류표 번호 제7005.21.4000호, 제7005.21.5000호, 제7005.21.6000호, 제7005.21.7010호, 제7005.21.7020호, 제7005.21.7030호, 제7005.29.4010호, 제7005.29.4090호, 제7005.29.5010호, 제7005.29.5090호, 제7005.29.6010호, 제7005.29.6090호, 제7005.29.7010호, 제7005.29.7090호, 제7005.29.8010호, 제7005.29.8090호, 제7005.29.9010호, 제7005.29.9090호에 해당하는 것을 말한다) 중 다음 각 호의 어느 하나에 해당하는 것으로 한다. 다만, 코팅유리(Coated Glass), 무늬유리(Patterned Glass), 망입유리(Wired Glass), 복층유리(Insulating Glass), 강화유리(Tempered Glass), 접합유리(Laminated Glass), 에칭유리(Etched Glass), 저철분유리(Low iron Glass) 등 판유리의 효용을 개선하기 위하여 가공한 유리는 제외한다. 1. 맑은 유리(Clear Float Glass) : 두께가 4밀리미터를 초과하고 13밀리미터 미만인 것 2. 색유리 중 그린유리(Green Float Glass) : 두께가 4밀리미터를 초과하고 13밀리미터 미만인 것</t>
  </si>
  <si>
    <t>다만, 코팅유리(Coated Glass), 무늬유리(Patterned Glass), 망입유리(Wired Glass), 복층유리(Insulating Glass), 강화유리(Tempered Glass), 접합유리(Laminated Glass), 에칭유리(Etched Glass), 저철분유리(Low iron Glass) 등 판유리의 효용을 개선하기 위하여 가공한 유리는 제외한다. 1. 맑은 유리(Clear Float Glass) : 두께가 4밀리미터를 초과하고 13밀리미터 미만인 것 2. 색유리 중 그린유리(Green Float Glass) : 두께가 4밀리미터를 초과하고 13밀리미터 미만인 것</t>
  </si>
  <si>
    <t>M098</t>
  </si>
  <si>
    <t>2018-10-15</t>
  </si>
  <si>
    <t>2018-10-15 제정</t>
  </si>
  <si>
    <t>제2조(부과대상 물품) 「관세법」 제51조에 따른 덤핑방지관세(이하 “덤핑방지관세”라 한다)가 부과되는 물품은 중국산 도자기질 타일(「관세법 시행령」 제98조제1항에 따른 관세ㆍ통계통합품목분류표 번호 제6901.00.3000호, 제6907.21.0000호, 제6907.22.1000호, 제6907.22.9000호, 제6907.23.0000호, 제6907.30.1000호, 제6907.30.9000호, 제6907.40.1000호, 제6907.40.9000호에 해당하는 것을 말한다)로서 가로와 세로의 길이가 각각 70밀리미터 이상 1천300밀리미터 이하인 사각 형태의 것을 말한다.</t>
  </si>
  <si>
    <t>M099</t>
  </si>
  <si>
    <t>대만 및 이탈리아산 스테인리스 스틸바에 대한 덤핑방지관세 부과에 관한 규칙</t>
  </si>
  <si>
    <t>2019-05-16</t>
  </si>
  <si>
    <t>2019-05-16 제정</t>
  </si>
  <si>
    <t>제2조(부과대상 물품) 덤핑방지관세가 부과되는 물품은 대만 및 이탈리아산 스테인리스 스틸바(「관세법 시행령」 제98조제1항에 따른 관세ㆍ통계통합품목분류표 번호 제7222.11.0000호, 제7222.19.0000호, 제7222.20.0000호 및 제7222.30.0000호에 해당하는 것을 말한다) 중 횡단면이 원형, 정사각형, 육각형 또는 직사각형(두께가 25밀리미터 이상 150밀리미터 이하이고, 너비가 150밀리미터 이상 600밀리미터 이하인 것으로 한정한다)인 것으로 한다. 다만, 다음 각 호의 어느 하나에 해당하는 것은 부과대상에서 제외한다. 1. 가운데에 구멍이 있는 것 2. 횡단면이 직사각형인 것 중 두께가 100밀리미터 초과 150밀리미터 이하이고, 너비가 150밀리미터 이상 210밀리미터 이하인 것 3. 콘크리트 보강용 철근으로서 표면에 마디가 있는 것 4. 자동차 엔진밸브용 내열강(고온에 잘 견디는 강철을 말하며, 이하 같다)으로서 21-4NNbW[유럽연합기준(EN) 1.4882] 규격인 것. 이 경우 21-4NWNb 등 N, Nb, W의 표기순서가 다른 것이라도 같은 규격으로 본다. 5. 자동차 엔진밸브용 내열강으로서 23-8N(EN기준 1.4866) 규격인 것 6. 자동차 엔진밸브용 내열강으로서 21-4N(EN기준 1.4871) 규격인 것 7. 자동차 엔진밸브용 내열강으로서 21-2N(EN기준 1.4875) 규격인 것 8. 자동차 엔진부품용으로서 440B(EN기준 1.4112) 규격인 것 9. 자동차 엔진부품용으로서 415M(EN기준 1.4418) 규격인 것으로 황(S) 함량이 10피피엠(ppm) 이하인 것 10. 자동차 가스센서용 AISI 430F 육각봉으로서 BOSCH F028X50124 규격을 충족하는 것 11. 자동차 솔레노이드(전기 도선 감은 원통형 기기를 말한다) 밸브용 430FR 강종(鋼種)으로서 max 398A/m coercive field strength Hc 자력성(磁力性) 규격을 충족하는 것</t>
  </si>
  <si>
    <t>다만, 다음 각 호의 어느 하나에 해당하는 것은 부과대상에서 제외한다. 1. 가운데에 구멍이 있는 것 2. 횡단면이 직사각형인 것 중 두께가 100밀리미터 초과 150밀리미터 이하이고, 너비가 150밀리미터 이상 210밀리미터 이하인 것 3. 콘크리트 보강용 철근으로서 표면에 마디가 있는 것 4. 자동차 엔진밸브용 내열강(고온에 잘 견디는 강철을 말하며, 이하 같다)으로서 21-4NNbW[유럽연합기준(EN) 1.4882] 규격인 것. 이 경우 21-4NWNb 등 N, Nb, W의 표기순서가 다른 것이라도 같은 규격으로 본다. 5. 자동차 엔진밸브용 내열강으로서 23-8N(EN기준 1.4866) 규격인 것 6. 자동차 엔진밸브용 내열강으로서 21-4N(EN기준 1.4871) 규격인 것 7. 자동차 엔진밸브용 내열강으로서 21-2N(EN기준 1.4875) 규격인 것 8. 자동차 엔진부품용으로서 440B(EN기준 1.4112) 규격인 것 9. 자동차 엔진부품용으로서 415M(EN기준 1.4418) 규격인 것으로 황(S) 함량이 10피피엠(ppm) 이하인 것 10. 자동차 가스센서용 AISI 430F 육각봉으로서 BOSCH F028X50124 규격을 충족하는 것 11. 자동차 솔레노이드(전기 도선 감은 원통형 기기를 말한다) 밸브용 430FR 강종(鋼種)으로서 max 398A/m coercive field strength Hc 자력성(磁力性) 규격을 충족하는 것</t>
  </si>
  <si>
    <t>M100</t>
  </si>
  <si>
    <t>인도산 초산에틸에 대한 덤핑방지관세 부과에 관한 규칙</t>
  </si>
  <si>
    <t>2019-07-09</t>
  </si>
  <si>
    <t>2019-07-09 제정</t>
  </si>
  <si>
    <t>제2조(부과대상 물품) 덤핑방지관세가 부과되는 물품은 인도산 초산에틸(「관세법 시행령」 제98조제1항에 따른 관세ㆍ통계통합품목분류표 번호 제2915.31호에 해당하는 것을 말한다)로 한다.</t>
  </si>
  <si>
    <t>M101</t>
  </si>
  <si>
    <t>제2조(부과대상 물품) 덤핑방지관세가 부과되는 물품은 중국ㆍ일본 및 싱가포르산 초산에틸(「관세법 시행령」 제98조제1항에 따른 관세ㆍ통계통합품목분류표 번호 제2915.31호에 해당하는 것을 말한다)로 한다.</t>
  </si>
  <si>
    <t>M102</t>
  </si>
  <si>
    <t>2019-08-23</t>
  </si>
  <si>
    <t>2019-08-23 제정</t>
  </si>
  <si>
    <t>제2조(부과대상 물품) 덤핑방지관세가 부과되는 물품은 중국ㆍ인도네시아 및 태국산 폴리프로필렌 연신필름(「관세법 시행령」 제98조제1항에 따른 관세ㆍ통계통합품목분류표 번호 제3920.20.0000호 또는 제3921.90.2000호에 해당하는 것을 말한다) 중 두께가 10마이크로미터(㎛) 이상인 것으로 한다. 다만, 별표 1에 규정된 물품은 부과대상에서 제외한다.</t>
  </si>
  <si>
    <t>다만, 별표 1에 규정된 물품은 부과대상에서 제외한다.</t>
  </si>
  <si>
    <t>■ 중국·인도네시아 및 태국산 폴리프로필렌 연신필름에 대한 덤핑방지관세 부과에 관한 규칙 [별표 1] 덤핑방지관세 부과대상에서 제외되는 물품(제2조 단서 관련) 해외 공급자 모델명 두께(㎛) 인도폴리 (PT Indopoly Swakarsa Industry Tbk.) DHR 18 SHO 23, 25 SHR 18, 20, 25 SHRV 25 DHSH 18 아르가 (PT Argha Karya Prima Industry Tbk.) PSP 20 PXAS 23 PXA 20, 23, 33 트리아스 (PT Trias Sentosa Tbk.) HSS 18, 19.5 THSS 18 THSSO 18 THSWO 18 HSB 17.6</t>
  </si>
  <si>
    <t>M103</t>
  </si>
  <si>
    <t>중국 및 인도산 폴리에틸렌 테레프탈레이트(PET)필름에 대한 덤핑방지관세 부과에 관한 규칙</t>
  </si>
  <si>
    <t>2019-09-11</t>
  </si>
  <si>
    <t>2019-09-11 제정</t>
  </si>
  <si>
    <t>제2조(부과대상 물품) 덤핑방지관세가 부과되는 물품은 중국 및 인도산 폴리에틸렌 테레프탈레이트(Polyethylene terephthalate, PET) 필름(「관세법 시행령」 제98조제1항에 따른 관세ㆍ통계통합품목분류표 번호 제3920.62.0000호 또는 제3920.69.0000호에 해당하는 것을 말한다)으로 한다. 다만, 별표 1에 규정된 물품은 부과대상에서 제외한다.</t>
  </si>
  <si>
    <t>■ 중국 및 인도산 폴리에틸렌 테레프탈레이트(PET)필름에 대한 덤핑방지관세 부과에 관한 규칙 [별표 1] 덤핑방지관세 부과대상에서 제외되는 물품(제2조 단서 관련) 1. 두께가 9마이크로미터(㎛) 미만으로서 증착되지 않은 폴리에틸렌 테레프탈레이트 (Polyethylene terephthalate, PET) 필름 2. 비냉매용 모터 절연용(絶緣用)으로 사용되는 두께 125마이크로미터 이상인 흰색 의 폴리에틸렌 테레프탈레이트 필름으로서 다음 각 목의 요건을 모두 갖춘 것 가. 규격 미국 보험협회 안전시험소(Underwriters Laboratory Inc.)에서 지정한 시험방식 에 따라 측정한 전기적 및 기계적 내열성(Relative Thermal Index, RTI)이 각 각 섭씨 105도 이상이고 흐름도(Haze)가 70퍼센트 이상일 것 나. 모델명 Garfilm EM6(인도 Garware Polyester Limited 제품), J-470(인도 Jindal Polyfilms Limited 제품) 3. 냉매용 모터 절연용으로 사용되는 두께 125마이크로미터 이상인 흰색의 폴리에틸 렌 테레프탈레이트 필름으로서 다음 각 목의 요건을 모두 갖춘 것 가. 규격 미국 보험협회 안전시험소에서 지정한 시험방식에 따라 측정한 전기적 및 기계 적 내열성이 각각 섭씨 140도, 125도 이상이고 소중합체(小重合體, Oligomer) 추출비율이 0.65퍼센트 이하이며 흐림도가 75퍼센트 이상일 것 나. 모델명 Garfilm EM6-L.O.(인도 Garware Polyester Limited 제품) 4. 홀로그램 폴리에틸렌 테레프탈레이트 필름 5. 안료를 다른 원재료에 배합하여 생산한 유채색(有彩色)의 폴리에틸렌 테레프탈레 이트 필름으로서 두께 300마이크로미터 이상인 것</t>
  </si>
  <si>
    <t>M104</t>
  </si>
  <si>
    <t>2020-07-14</t>
  </si>
  <si>
    <t>2020-07-14 제정</t>
  </si>
  <si>
    <t>제2조(부과대상 물품) 덤핑방지관세가 부과되는 물품은 일본산 스테인리스스틸 후판(「관세법 시행령」 제98조제1항에 따른 관세ㆍ통계통합품목분류표 번호 제7219.21.1010호, 제7219.21.1090호, 제7219.21.9000호, 제7219.22.1010호, 제7219.22.1090호, 제7219.22.9000호에 해당하는 것을 말한다) 중 다음 각 호의 요건을 모두 갖춘 것으로 한다. 다만, 별표에 규정된 물품은 부과대상에서 제외한다. 1. 스테인리스강(탄소의 함유량이 전체 중량의 100분의 1.2 이하이고 크로뮴의 함유량이 전체 중량의 100분의 10.5 이상인 합금강을 말한다)일 것 2. 두께가 8밀리미터 이상 80밀리미터 이하이고 너비가 1천밀리미터 이상 3,270밀리미터 이하인 열간압연(熱間壓延) 강판일 것 3. 압연, 열처리, 냉각 및 후처리과정[교정, 절단, 산세(酸洗) 및 포장을 말한다]을 거친 완제품으로서 코일형태의 제품이 아닌 것</t>
  </si>
  <si>
    <t>다만, 별표에 규정된 물품은 부과대상에서 제외한다. 1. 스테인리스강(탄소의 함유량이 전체 중량의 100분의 1.2 이하이고 크로뮴의 함유량이 전체 중량의 100분의 10.5 이상인 합금강을 말한다)일 것 2. 두께가 8밀리미터 이상 80밀리미터 이하이고 너비가 1천밀리미터 이상 3,270밀리미터 이하인 열간압연(熱間壓延) 강판일 것 3. 압연, 열처리, 냉각 및 후처리과정[교정, 절단, 산세(酸洗) 및 포장을 말한다]을 거친 완제품으로서 코일형태의 제품이 아닌 것</t>
  </si>
  <si>
    <t>■ 일본산 스테인리스스틸 후판에 대한 덤핑방지관세 부과에 관한 규칙 [별표] 덤핑방지관세 부과대상에서 제외되는 물품(제2조 각 호 외의 부분 단서 관련) 1. Nippon Yakin Kogyo Co., Ltd.에서 공급하는 공급자 기호 NAS 800[이 규칙 시행일 현재의 일본공업규격(Japanese Industrial Standards, 이하 "JIS"라 한다) 의 NCF 800에 해당한다] 강종(鋼種)인 것 2. JIS의 SUS 410 강종인 것 3. JIS의 SUS 329J4L(공급자 기호 NAS 64를 포함한다) 강종인 것 4. JIS의 SUS 836L 강종인 것 5. JIS의 SUS 329J1 강종인 것 6. 이 규칙 시행일 현재의 미국재료시험협회(American Society for Testing Materials, 이하 "ASTM"이라 한다)의 410S 또는 JIS의 SUS 410S 강종인 것 7. ASTM의 S82122[NIPPON STEEL Stainless Steel Corporation(이하 "NSSC" 라 한다)의 고유강종 NSSC 2120을 포함한다] 강종인 것 8. ASTM의 N08904 강종인 것 9. ASTM의 S31254 강종인 것 10. ASTM의 S32760 강종인 것 11. ASTM의 S32750(공급자 기호 NAS 74N을 포함한다) 강종인 것 12. ASTM의 A240 410 강종인 것 13. ASTM의 N8367 강종인 것 14. ASTM의 N8926 강종인 것 15. ASTM의 S32101 강종인 것 16. 공급자 기호 NAS 800H(JIS의 NCF 800H에 해당한다) 강종인 것 17. 공급자 기호 NAS 255(JIS의 SUS 890L에 해당한다) 강종인 것 18. 공급자 기호 NAS 185N(JIS의 SUS 312L에 해당한다) 강종인 것 19. 공급자 기호 NAS 800T[이 규칙 시행일 현재의 미국통일규격부여시스템(Unified Numbering System, 이하 "UNS No."라 한다)의 N 08811에 해당한다] 강종인 것 20. 공급자 기호 NAS 254NM(UNS No. N 08367에 해당한다) 강종인 것 21. 공급자 기호 NAS 255NM(UNS No. N 08926에 해당한다) 강종인 것 22. 공급자 기호 NAS 75N(UNS No. S 32760에 해당한다) 강종인 것 23. NSSC의 고유 강종(NSSC 409L) 중 다음 각 목의 요건을 모두 갖춘 것 가. 탄소 함유량이 전체 중량의 0.03% 이하일 것 나. 규소 함유량이 전체 중량의 1.00% 이하일 것 다. 망간 함유량이 전체 중량의 1.00% 이하일 것 라. 인 함유량이 전체 중량의 0.04% 이하일 것 마. 황 함유량이 전체 중량의 0.03% 이하일 것 바. 크로뮴 함유량이 전체 중량의 10.50% 이상 11.45% 이하일 것 사. 티타늄 함유량이 전체 중량의 0.75% 이하(하한치는 탄소 함유량의 6배 이 상)일 것 24. NSSC의 고유 강종(NSSC DP-28W) 중 다음 각 목의 요건을 모두 갖춘 것 가. 탄소 함유량이 전체 중량의 0.03% 이하일 것 나. 규소 함유량이 전체 중량의 0.50% 이하일 것 다. 망간 함유량이 전체 중량의 1.10% 이하일 것 라. 인 함유량이 전체 중량의 0.03% 이하일 것 마. 황 함유량이 전체 중량의 0.01% 이하일 것 바. 니켈 함유량이 전체 중량의 7.00% 이상 8.20% 이하일 것 사. 크로뮴 함유량이 전체 중량의 27.00% 이상 27.90% 이하일 것 아. 몰리브덴 함유량이 전체 중량의 0.80% 이상 1.20% 이하일 것 자. 질소 함유량이 전체 중량의 0.30% 이상 0.40% 이하일 것 차. 텅스텐 함유량이 전체 중량의 2.10% 이상 2.50% 이하일 것 25. NSSC의 고유 강종(NSSC DP-3) 중 다음 각 목의 요건을 모두 갖춘 것 가. 탄소 함유량이 전체 중량의 0.03% 이하일 것 나. 규소 함유량이 전체 중량의 0.75% 이하일 것 다. 망간 함유량이 전체 중량의 1.10% 이하일 것 라. 인 함유량이 전체 중량의 0.03% 이하일 것 마. 황 함유량이 전체 중량의 0.03% 이하일 것 바. 니켈 함유량이 전체 중량의 5.50% 이상 7.50% 이하일 것 사. 크로뮴 함유량이 전체 중량의 24.00% 이상 26.00% 이하일 것 아. 몰리브덴 함유량이 전체 중량의 2.50% 이상 3.50% 이하일 것 자. 질소 함유량이 전체 중량의 0.10% 이상일 것 차. 구리 함유량이 전체 중량의 0.20% 이상 0.80% 이하일 것 카. 텅스텐 함유량이 전체 중량의 0.10% 이상 0.50% 이하일 것 26. NSSC의 고유 강종(NSSC AH-4) 중 다음 각 목의 요건을 모두 갖춘 것 가. 탄소 함유량이 전체 중량의 0.05% 이상 0.10% 이하일 것 나. 규소 함유량이 전체 중량의 1.00% 이하일 것 다. 망간 함유량이 전체 중량의 1.00% 이하일 것 라. 인 함유량이 전체 중량의 0.04% 이하일 것 마. 황 함유량이 전체 중량의 0.03% 이하일 것 바. 니켈 함유량이 전체 중량의 10.00% 이상 12.00% 이하일 것 사. 크로뮴 함유량이 전체 중량의 22.00% 이상 24.00% 이하일 것 아. 질소 함유량이 전체 중량의 0.18% 이상 0.25% 이하일 것 자. 란타넘, 세륨 함유량의 합이 전체 중량의 0.03% 이상 0.07% 이하일 것 27. NSSC의 고유 강종(NSSC 260) 중 다음 각 목의 요건을 모두 갖춘 것 가. 탄소 함유량이 전체 중량의 0.03% 이하일 것 나. 규소 함유량이 전체 중량의 1.50% 이하일 것 다. 망간 함유량이 전체 중량의 2.00% 이하일 것 라. 인 함유량이 전체 중량의 0.04% 이하일 것 마. 황 함유량이 전체 중량의 0.03% 이하일 것 바. 니켈 함유량이 전체 중량의 13.50% 이상 16.50% 이하일 것 사. 크로뮴 함유량이 전체 중량의 18.50% 이상 21.50% 이하일 것 아. 몰리브덴 함유량이 전체 중량의 2.50% 이상 3.50% 이하일 것 자. 질소 함유량이 전체 중량의 0.16% 이상 0.24% 이하일 것 차. 구리 함유량이 전체 중량의 1.00% 이상 2.00% 이하일 것 28. NSSC의 고유 강종(NSSC 270) 중 다음 각 목의 요건을 모두 갖춘 것 가. 탄소 함유량이 전체 중량의 0.02% 이하일 것 나. 규소 함유량이 전체 중량의 0.80% 이하일 것 다. 망간 함유량이 전체 중량의 1.00% 이하일 것 라. 인 함유량이 전체 중량의 0.03% 이하일 것 마. 황 함유량이 전체 중량의 0.015% 이하일 것 바. 니켈 함유량이 전체 중량의 17.50% 이상 19.50% 이하일 것 사. 크로뮴 함유량이 전체 중량의 19.00% 이상 21.00% 이하일 것 아. 몰리브덴 함유량이 전체 중량의 6.00% 이상 7.00% 이하일 것 자. 질소 함유량이 전체 중량의 0.16% 이상 0.25% 이하일 것 차. 구리 함유량이 전체 중량의 0.50% 이상 1.00% 이하일 것 29. NSSC의 고유강종(NSSC SN-1) 중 다음 각 목의 요건을 모두 갖춘 것 가. 탄소 함유량이 전체 중량의 0.02% 이하일 것 나. 규소 함유량이 전체 중량의 3.90% 이상 4.70% 이하일 것 다. 망간 함유량이 전체 중량의 1.50% 이하일 것 라. 인 함유량이 전체 중량의 0.03% 이하일 것 마. 황 함유량이 전체 중량의 0.03% 이하일 것 바. 몰리브덴 함유량이 전체 중량의 0.50% 이하일 것 사. 구리 함유량이 전체 중량의 0.50% 이하일 것 아. 니켈 함유량이 전체 중량의 13.00% 이상 15.50% 이하일 것 자. 크로뮴 함유량이 전체 중량의 16.50% 이상 18.50% 이하일 것 30. 이 규칙 시행일 현재의 미국기계학회(American Society of Mechanical Engineers, 이하 "ASME"라 한다)의 S31254 강종인 것 31. ASME의 N08904 강종인 것 32. ASME의 S32760 강종인 것 33. ASME의 SA240 410 강종인 것 34. ASME의 SA240 410S 강종인 것 35. ASME의 N8367 강종인 것 36. ASME의 N8926 강종인 것 37. ASME의 S32750 강종인 것 38. ASME의 S32101 강종인 것 39. 이 규칙 시행일 현재의 노르웨이해양산업규격(Norsk Sokkels Konkuranseposisjon, 이하 "NORSOK"라 한다)의 S31254 강종인 것 40. NORSOK의 S32750 강종인 것</t>
  </si>
  <si>
    <t>M105</t>
  </si>
  <si>
    <t>2020-11-06</t>
  </si>
  <si>
    <t>2020-11-06 제정</t>
  </si>
  <si>
    <t>M106</t>
  </si>
  <si>
    <t>베트남산 합판에 대한 덤핑방지관세 부과에 관한 규칙</t>
  </si>
  <si>
    <t>제2조(부과대상 물품) 덤핑방지관세가 부과되는 물품은 베트남산 합판(「관세법 시행령」 제98조제1항에 따른 관세ㆍ통계통합품목분류표 번호 제4412.31호, 제4412.33호, 제4412.34호, 제4412.39호, 제4412.91호, 제4412.92호 또는 제4412.99호에 해당하는 것을 말한다) 중 두께가 6밀리미터(㎜) 이상인 것으로 한다. &lt;개정 2021. 12. 31.&gt;</t>
  </si>
  <si>
    <t>제2조(부과대상 물품) 덤핑방지관세가 부과되는 물품은 베트남산 합판(「관세법 시행령」 제98조제1항에 따른 관세ㆍ통계통합품목분류표 번호 제4412.31호, 제4412.33호, 제4412.34호, 제4412.39호 또는 제4412.99호에 해당하는 것을 말한다) 중 두께가 6밀리미터(㎜) 이상인 것으로 한다.</t>
  </si>
  <si>
    <t>M107</t>
  </si>
  <si>
    <t>중국산 침엽수 합판에 대한 덤핑방지관세 부과에 관한 규칙</t>
  </si>
  <si>
    <t>제2조(부과대상 물품) 덤핑방지관세가 부과되는 물품은 중국산 합판[세 개 이상의 단판(單板)을 층층이 쌓아 접착한 것으로서 「관세법 시행령」 제98조제1항에 따른 관세ㆍ통계통합품목분류표 번호 제4412.39.9000호 또는 제4412.99.1000호에 해당하는 것을 말한다]으로서 다음 각 호의 요건을 모두 갖춘 것으로 한다. &lt;개정 2021. 12. 31.&gt; 1. 전체 두께가 6밀리미터(㎜) 이상일 것 2. 양쪽 겉면의 단판이 침엽수 목재일 것 3. 단판의 섬유 방향이 다른 단판의 섬유 방향과 교차할 것</t>
  </si>
  <si>
    <t>제2조(부과대상 물품) 덤핑방지관세가 부과되는 물품은 중국산 합판[세 개 이상의 단판(單板)을 층층이 쌓아 접착한 것으로서 「관세법 시행령」 제98조제1항에 따른 관세ㆍ통계통합품목분류표 번호 제4412.39.9000호, 제4412.99.6100호 또는 제4412.99.9100호에 해당하는 것을 말한다]으로서 다음 각 호의 요건을 모두 갖춘 것으로 한다. 1. 전체 두께가 6밀리미터(㎜) 이상일 것 2. 양쪽 겉면의 단판이 침엽수 목재일 것 3. 단판의 섬유 방향이 다른 단판의 섬유 방향과 교차할 것</t>
  </si>
  <si>
    <t>M108</t>
  </si>
  <si>
    <t>M109</t>
  </si>
  <si>
    <t>2021-01-22</t>
  </si>
  <si>
    <t>2021-01-22 제정</t>
  </si>
  <si>
    <t>제2조(부과대상 물품) 덤핑방지관세가 부과되는 물품은 일본ㆍ인도 및 스페인산 스테인리스 스틸바(「관세법 시행령」 제98조제1항에 따른 관세ㆍ통계통합품목분류표 번호 제7222.11.0000호, 제7222.19.0000호, 제7222.20.0000호 또는 제7222.30.0000호에 해당하는 것을 말한다) 중 다음 각 호의 어느 하나에 해당하는 것으로 한다. 다만, 별표 1에 규정된 물품은 제외한다. 1. 가운데에 구멍이 없는 원형강(Round Bar): 지름이 600밀리미터(㎜) 이하인 것 2. 각강(Square Bar): 대변거리(마주보는 변 사이의 길이를 말한다. 이하 같다)가 4.5밀리미터 이상 40밀리미터 이하인 것 3. 육각강(Hexagonal Bar): 대변거리가 5밀리미터 이상 40밀리미터 이하인 것 4. 평강(Flat Bar): 두께가 25밀리미터 이상 150밀리미터 이하이고 너비가 150밀리미터 이상 600밀리미터 이하인 것. 다만, 두께가 100밀리미터 초과 150밀리미터 이하이고 너비가 150밀리미터 이상 210밀리미터 이하인 것은 제외한다.</t>
  </si>
  <si>
    <t>다만, 별표 1에 규정된 물품은 제외한다. 1. 가운데에 구멍이 없는 원형강(Round Bar): 지름이 600밀리미터(㎜) 이하인 것 2. 각강(Square Bar): 대변거리(마주보는 변 사이의 길이를 말한다. 이하 같다)가 4.5밀리미터 이상 40밀리미터 이하인 것 3. 육각강(Hexagonal Bar): 대변거리가 5밀리미터 이상 40밀리미터 이하인 것 4. 평강(Flat Bar): 두께가 25밀리미터 이상 150밀리미터 이하이고 너비가 150밀리미터 이상 600밀리미터 이하인 것. 다만, 두께가 100밀리미터 초과 150밀리미터 이하이고 너비가 150밀리미터 이상 210밀리미터 이하인 것은 제외한다.</t>
  </si>
  <si>
    <t>■ 일본ㆍ인도 및 스페인산 스테인리스 스틸바에 대한 덤핑방지관세 부과에 관한 규칙 [별표 1] 덤핑방지관세 부과대상에서 제외되는 물품(제2조 각 호 외의 부분 단서 관련) 1. 내열강 JIS(Japanese industrial standard)의 SUH1/1HT, SUH3/3HT, SUH11 /11HT, SUH35, 21-2N, 21-12N(SUH37), 23-8N, 21-4NNbW 규격인 것 2. 니켈합금강 및 전자스테인리스강(Electromagnetic stainless steel) 3. 액화천연가스(LNG) 선박 건조용 스테인리스 스틸 평강(SUS304)으로서 규 격[두께(㎜)×너비(㎜)×길이(㎜)]이 12×55×6,000, 16×55×6,000인 것 4. 합성섬유방사 노즐용으로서 원형강(SUS-630KN) 중 그 경도(단단한 정도) 가 HRC(Hardness Rockwell C, 로크웰 경도 C) 34∼38이고 지름이 30㎜ 이상 600㎜ 이하인 것과 사각강(SUS-630KN) 중 그 경도가 HRC 35∼40인 것 5. 다음 각 목의 어느 하나에 해당하는 것 가. 관 이음쇠 및 유압용 육각강(SUS316) 중 그 경도가 HRC 21∼23이고, 허 용공차가 H11이며, 대변거리(단위: ㎜)가 7.9, 9.5, 11.1, 12.0, 12.7, 14.0, 14.2, 15.0, 15.8, 16.0, 17.0, 17.4, 18.0, 19.1, 20.6, 22.0, 22.2, 23.8, 24.0, 25.0, 25.4, 26.9, 28.5, 30.0, 31.7, 32.0, 33.3, 34.9, 36.0 또는 38.1인 것 나. 스테인리스 스틸 원형강(SUS316) 중 그 경도가 HRC 24∼28이고, 허용공 차가 H9이며, 지름(단위: ㎜)이 6.0, 10.0, 12.0, 13.0, 14.0, 16.0, 18.0, 20.0, 23.0, 26.0, 29.0, 30.0, 32.0, 35.0, 40.0, 42.0 또는 50.8인 것 6. 가솔린 자동차 연료펌프모터 샤프트(Shaft)용 원형강(SUS440C)으로서 지름 5.1㎜, 길이 2,000㎜, 직경공차 ±0.02㎜ 이내, 진직도(眞直度) ±0.018㎜ 이내, 진원도(眞圓度) 0.012㎜ 이내, 표면거칠기 3.2z 이내 및 표면경도 HRB(Hardn ess Rockwell B, 로크웰 경도 B) 96(Max)인 것 7. 자동차 연료조절기밸브용 원형강(SUS420F)으로서 규격[지름(㎜)×길이(㎜)]이 7.1(＋0.05/－0)×2,500(＋30/－0) 또는 11.5(＋0.05/－0)×2,500(＋30/－0)인 것 8. 자동차 및 유공압 솔레노이드밸브용 쾌삭스테인리스 스틸바 원형강(ASK3200) 으로서 지름이 8㎜ 이하인 것 9. 전자부품 가공용 쾌삭스테인리스 스틸바 원형강(ASK3000U)으로서 지름이 1㎜ 이상 4㎜ 이하인 것 10. SUS316L 계열의 원형강 중 고청정(高淸淨: 아주 맑고 깨끗함) 반도체 제조 설비에 사용되는 밸브 및 배관부품용으로 2회 이상의 용해 또는 정련 공정 을 거친 것으로서 다음 각 목의 요건을 모두 갖춘 것 가. 탄소 함유량이 전체 중량의 0.01% 이하일 것 나. 규소의 함유량이 전체 중량의 0.15% 이하일 것 다. 망간의 함유량이 전체 중량의 0.05% 이하일 것 라. 황의 함유량이 전체 중량의 0.002% 이하일 것 마. 질소의 함유량이 전체 중량의 0.015% 이하일 것 바. 산소의 함유량이 전체 중량의 0.0015% 이하일 것 사. 니켈의 함유량이 전체 중량의 14.5% 이상 15.0% 이하일 것 아. 크로뮴의 함유량이 전체 중량의 16.5% 이상 17.0% 이하일 것 자. 몰리브덴의 함유량이 전체 중량의 2.20% 이상 2.25% 이하일 것 11. SUS316L 계열의 원형강 중 고청정 반도체 제조설비에 사용되는 밸브 및 배관부품용으로 2회 이상의 용해 또는 정련 공정을 거친 것으로서 다음 각 목의 요건을 모두 갖춘 것 가. 탄소 함유량이 전체 중량의 0.01% 이하일 것 나. 규소의 함유량이 전체 중량의 0.30% 이하일 것 다. 망간의 함유량이 전체 중량의 0.40% 이하일 것 라. 황의 함유량이 전체 중량의 0.003% 이하일 것 마. 질소의 함유량이 전체 중량의 0.015% 이하일 것 바. 산소의 함유량이 전체 중량의 0.0015% 이하일 것 사. 니켈의 함유량이 전체 중량의 14.5% 이상 15.0% 이하일 것 아. 크로뮴의 함유량이 전체 중량의 16.5% 이상 17.0% 이하일 것 자. 몰리브덴의 함유량이 전체중량의 2.20% 이상 2.50% 이하일 것 12. 평강 중 다음 각 목의 어느 하나에 해당하는 것 가. 두께가 9㎜ 이상 13㎜ 이하이고 너비가 15㎜ 이상 100㎜ 이하인 것 나. 두께가 13㎜ 이상 20㎜ 이하이고 너비가 15㎜ 이상 150㎜ 이하인 것 13. 일본산 스테인리스 스틸바 중 문구류 제조용 원형강인 SF20T 및 SF20E 제 품으로서 지름이 2.5㎜ 이하이고 길이가 12㎜ 이하인 것 14. 관세ㆍ통계통합품목분류표번호제7222.11.0000호의일본산스테인리스스틸바중 금속섬유제조용 Fe-Cr-Al 내열합금원형강으로 다음각 목의 요건을 모두 갖춘 것 가. 알루미늄의 함유량이 전체 중량의 5% 이상일 것 나. 크로뮴의 함유량이 전체 중량의 23% 이상일 것 다. 지름이 10.0㎜ 이상일 것</t>
  </si>
  <si>
    <t>M110</t>
  </si>
  <si>
    <t>2021-03-30</t>
  </si>
  <si>
    <t>2026-01-02 타법개정</t>
  </si>
  <si>
    <t>제2조(부과대상 물품) 덤핑방지관세가 부과되는 물품은 중국산 에이치(H) 형강[「관세법 시행령」 제98조제1항에 따른 관세ㆍ통계통합품목분류표 번호 제7216.33.3000호, 제7216.33.4000호, 제7216.33.5000호, 제7228.70.1010호, 제7228.70.1090호에 해당하는 것을 말한다] 중 다음 각 호의 요건을 모두 갖춘 것으로 한다. 1. 상하 및 좌우 대칭 형태일 것 2. 「산업표준화법」 제12조에 따른 한국산업표준에 따라 측정한 높이가 80밀리미터 이상일 것</t>
  </si>
  <si>
    <t>■ 중국산 에이치(H) 형강에 대한 덤핑방지관세의 부과에 관한 규칙 [별표 1] 부과대상 공급자에서 제외되는 공급자(제3조제2항 본문 관련) 공급자 1. 라이우스틸(Shandong Iron and Steel Company Ltd. Laiwu Company)과 그 기 업의 제품을 수출하는 다음 각 목의 기업 가. Shandong Laiwu Steel International Corp. 나. Eldon Development Limited 다. Shandong Steel International Co., Ltd. 2. 르자오스틸(Rizhao Medium Section Mill Co., Ltd.)과 그 기업의 제품을 수출하 는 다음 각 목의 기업 가. Rizhao Steel Holding Group Co., Ltd. 나. Bright Ruby Resources Pte. Limited 다. Baohua Steel International Pte. Limited 3. 안타이스틸(Shanxi Antai H-beam Co., Ltd.)과 그 기업의 제품을 수출하는 다 음 각 목의 기업 가. Jiexiu Yian Industry Co., Ltd. 나. Shanxi Antai International Trading Co., Ltd. 다. Everstate Trading(Hong Kong) Limited</t>
  </si>
  <si>
    <t>M111</t>
  </si>
  <si>
    <t>2021-05-03</t>
  </si>
  <si>
    <t>제2조(부과대상 물품) 덤핑방지관세가 부과되는 물품은 중국산 인쇄제판용 평면 모양 사진플레이트(「관세법 시행령」 제98조제1항에 따른 관세ㆍ통계통합품목분류표 번호 제3701.30.2000호에 해당하는 것을 말한다) 중 다음 각 호의 요건을 모두 갖춘 것으로 한다. 다만, 포토폴리머 바이올렛판(Photopolymer Violet Plate), 재생판 및 더블레이어판(Double-layer Plate)은 부과대상 물품에서 제외한다. &lt;개정 2021. 12. 31.&gt; 1. 알루미늄판의 표면을 전기ㆍ화학적으로 연마하여 산화막을 형성한 후 표면에 감광재를 도포한 감광성 인쇄용 판일 것 2. 각 변의 길이가 255밀리미터(㎜)를 초과할 것</t>
  </si>
  <si>
    <t>다만, 포토폴리머 바이올렛판(Photopolymer Violet Plate), 재생판 및 더블레이어판(Double-layer Plate)은 부과대상 물품에서 제외한다. &lt;개정 2021. 12. 31.&gt; 1. 알루미늄판의 표면을 전기ㆍ화학적으로 연마하여 산화막을 형성한 후 표면에 감광재를 도포한 감광성 인쇄용 판일 것 2. 각 변의 길이가 255밀리미터(㎜)를 초과할 것</t>
  </si>
  <si>
    <t>제2조(부과대상 물품) 덤핑방지관세가 부과되는 물품은 중국산 인쇄제판용 평면 모양 사진플레이트(「관세법 시행령」 제98조제1항에 따른 관세ㆍ통계통합품목분류표 번호 제3701.30.9100호에 해당하는 것을 말한다) 중 다음 각 호의 요건을 모두 갖춘 것으로 한다. 다만, 포토폴리머 바이올렛판(Photopolymer Violet Plate), 재생판 및 더블레이어판(Double-layer Plate)은 부과대상 물품에서 제외한다. 1. 알루미늄판의 표면을 전기ㆍ화학적으로 연마하여 산화막을 형성한 후 표면에 감광재를 도포한 감광성 인쇄용 판일 것 2. 각 변의 길이가 255밀리미터(㎜)를 초과할 것</t>
  </si>
  <si>
    <t>M112</t>
  </si>
  <si>
    <t>중국ㆍ인도네시아 및 대만산 스테인리스강 평판압연에 대한 덤핑방지관세 부과에 관한 규칙</t>
  </si>
  <si>
    <t>2021-09-15</t>
  </si>
  <si>
    <t>2021-09-15 제정</t>
  </si>
  <si>
    <t>제2조(부과대상 물품) 덤핑방지관세가 부과되는 물품은 중국ㆍ인도네시아 및 대만산 스테인리스강 평판압연(「관세법 시행령」 제98조제1항에 따른 관세ㆍ통계통합품목분류표 번호 제7219.12.1010호, 제7219.12.1090호, 제7219.12.9000호, 제7219.13.1010호, 제7219.13.1090호, 제7219.13.9000호, 제7219.14.1010호, 제7219.14.1090호, 제7219.14.9000호, 제7219.22.1010호, 제7219.22.1090호, 제7219.22.9000호, 제7219.23.1010호, 제7219.23.1090호, 제7219.23.9000호, 제7219.24.1010호, 제7219.24.1090호, 제7219.24.9000호, 제7219.31.1010호, 제7219.31.1090호, 제7219.31.9000호, 제7219.32.1010호, 제7219.32.1090호, 제7219.32.9000호, 제7219.33.1010호, 제7219.33.1090호, 제7219.33.9000호, 제7219.34.1010호, 제7219.34.1090호, 제7219.34.9000호, 제7219.35.1010호, 제7219.35.1090호, 제7219.35.9000호, 제7219.90.1010호, 제7219.90.1090호, 제7219.90.9000호, 제7220.11.1010호, 제7220.11.1090호, 제7220.11.9000호, 제7220.12.1010호, 제7220.12.1090호, 제7220.12.9000호, 제7220.20.1010호, 제7220.20.1090호, 제7220.20.9000호, 제7220.90.1010호, 제7220.90.1090호 또는 제7220.90.9000호에 해당하는 것을 말한다) 중 두께가 8밀리미터(mm) 이하인 것으로 한다. 다만, 별표 1 각 호에 해당하는 물품은 제외한다.</t>
  </si>
  <si>
    <t>다만, 별표 1 각 호에 해당하는 물품은 제외한다.</t>
  </si>
  <si>
    <t>■ 중국ㆍ 인도네시아 및 대만산 스테인리스강 평판압연에 대한 덤핑방지관세 부과 에 관한 규칙 [별표 1] 덤핑방지관세 부과대상에서 제외되는 물품(제2조 단서 관련) 1. 미국재료시험협회(American Society for Testing Materials) 규격 S31254 및 N 08367 강종의 제품 2. 니켈계(니켈을 함유하며, 다른 원소의 포함 여부는 상관없다)고 니켈 함유량이 6% 미만이며 망간 함유량이 3% 이상인 200계 제품(「관세법 시행령」제98조제 1항에 따른 관세ㆍ 통계통합품목분류표 번호 제7219.12.1010호, 제7219.13.1010호, 제7219.14.1010호, 제7219.22.1010호, 제7219.23.1010호, 제7219.24.1010호, 제7219.3 1.1010호, 제7219.32.1010호, 제7219.33.1010호, 제7219.34.1010호, 제7219.35.1010호, 제7219.90.1010호, 제7220.11.1010호, 제7220.12.1010호, 제7220.20.1010호 또는 제7 220.90.1010호에 해당하는 것을 말한다) 3. 폭이 2,000밀리미터(mm) 이상인 열간압연 제품 4. 316 또는 316L 강종으로 두께가 3.0밀리미터(mm) 이상 4.0밀리미터(mm) 이하 면서 폭 1,524밀리미터(mm) 이상인 열간압연 제품 5. 중국국가표준(GB) 2Cr13, 3Cr13, 4Cr13, 6Cr13 강종으로 두께 3밀리미터(mm) 이하면서 폭 400밀리미터(mm) 이하인 경도 HV 250 이상 350 이하의 제품 6. 다음 각 목의 요건을 모두 갖춘 제품 가. 탄소(C) 함유량이 전체 중량의 0.015% 이하일 것 나. 규소(Si) 함유량이 전체 중량의 0.3% 이상 0.6% 이하일 것 다. 망간(Mn) 함유량이 전체 중량의 0.9% 이상 1.3% 이하일 것 라. 인(P) 함유량이 전체 중량의 0.013% 이하일 것 마. 황(S) 함유량이 전체 중량의 0.005% 이하일 것 바. 니켈(Ni) 함유량이 전체 중량의 10.0% 이상 11.5% 이하일 것 사. 크로뮴(Cr) 함유량이 전체 중량의 18.0% 이상 19.5% 이하일 것 아. 몰리브덴(Mo) 함유량이 전체 중량의 0.3% 이하일 것 자. 구리(Cu) 함유량이 전체 중량의 0.01% 이하일 것 차. 질소(N) 함유량이 전체 중량의 0.025% 이하일 것 카. 두께가 0.34밀리미터(mm) 이상 0.36밀리미터(mm) 이하일 것 || ■ 중국ㆍ 인도네시아 및 대만산 스테인리스강 평판압연에 대한 덤핑방지관세 부과에 관한 규칙 [별표 2] 부과대상 공급자에서 제외되는 공급자(제3조제2항 본문 관련) 공급국 공급자 중국 1. 산시타이강(Shanxi Taigang Stainless Steel Co., Ltd.)과 다음 각 목의 관계사 가. 티스코홍콩[TISCO Stainless Steel (H.K.) Limited] 나. 티스코트레이딩[TISCO Trading (H.K.) LTD.] 다. 타이강보세(Shanxi Taigang Bonded &amp; Comprehensive Service Co., LTD.) 2. 리스코(ANGANG LIANZHONG STAINLESS STEEL CORPORA TION) 인도네시아 3. 인니청산(PT. INDONESIA TSINGSHAN STAINLESS STEEL)과 다음 각 목의 관계사 가. 광칭(PT. INDONESIA GUANG CHING NICKEL AND STAIN LESS STEEL INDUSTRY) 나. 루이푸(PT. INDONESIA RUIPU NICKEL AND CHROME ALL OY) 다. 이터널청산(ETERNAL TSINGSHAN GROUP LIMITED) 라. 골든하버(GOLDEN HARBOUR INTERNATIONAL PTE. LTD.) 대만 4. 유스코(Yieh United Steel Corporation)와 다음 각 목의 관계사 가. 이예마우(Yieh Mau Corp.) 나. 탕엉(Tang Eng Iron Works Co., Ltd.) 다. 와이씨엘(Yieh Corporation Limited) 5. 왈신(Walsin Lihwa Corporation)</t>
  </si>
  <si>
    <t>M113</t>
  </si>
  <si>
    <t>대만ㆍ태국 및 아랍에미리트연합산 폴리에틸렌 테레프탈레이트(PET) 필름에 대한 덤핑방지관세 부과에 관한 규칙</t>
  </si>
  <si>
    <t>2021-12-24</t>
  </si>
  <si>
    <t>2021-12-24 제정</t>
  </si>
  <si>
    <t>제2조(부과대상 물품) 덤핑방지관세가 부과되는 물품은 대만ㆍ태국 및 아랍에미리트연합산 폴리에틸렌 테레프탈레이트(Polyethylene Terephthalate, PET) 필름( 「관세법 시행령」 제98조 제1항 에 따른 관세ㆍ통계통합품목분류표의 품목번호 제3920.62.0000호 및 제3920.69.0000호에 해당하는 것을 말한다) 중 다음 각 호의 어느 하나에 해당하는 것으로 한다. 다만, 금속이 증착(蒸着)된 물품 또는 유채색 물품은 제외한다. 1. 코팅되지 않은 물품 2. 코팅된 물품으로서 코팅 두께의 합이 0.25마이크로미터(㎛) 이하인 것 || 제3조(부과대상 물품의 공급자 및 덤핑방지관세율) 제2조 에 따른 부과대상 물품의 공급자와 그 공급자별 덤핑방지관세율은 별표 와 같다.</t>
  </si>
  <si>
    <t>다만, 금속이 증착(蒸着)된 물품 또는 유채색 물품은 제외한다. 1. 코팅되지 않은 물품 2. 코팅된 물품으로서 코팅 두께의 합이 0.25마이크로미터(㎛) 이하인 것</t>
  </si>
  <si>
    <t>M114</t>
  </si>
  <si>
    <t>중국산 폴리에스테르 장섬유 완전연신사(FDY)에 대한 덤핑방지관세 부과에 관한 규칙</t>
  </si>
  <si>
    <t>2022-01-06</t>
  </si>
  <si>
    <t>2022-01-06 제정</t>
  </si>
  <si>
    <t>제2조(부과대상 물품) 덤핑방지관세가 부과되는 물품은 「관세법 시행령」 제98조 제1항 에 따른 관세ㆍ통계통합품목분류표의 품목번호 제5402.47.9000호에 해당하는 중국산 폴리에스테르 장섬유 완전연신사(Polyester Filament Fully Drawn Yarn, FDY)로 한다. || 제3조(부과대상 물품의 공급자 및 덤핑방지관세율) 제2조 에 따른 부과대상 물품의 공급자와 그 공급자별 덤핑방지관세율은 별표 와 같다.</t>
  </si>
  <si>
    <t>M115</t>
  </si>
  <si>
    <t>2022-04-08</t>
  </si>
  <si>
    <t>2022-04-08 제정</t>
  </si>
  <si>
    <t>제2조(부과대상 물품) 덤핑방지관세가 부과되는 물품은 플로트(float) 공법으로 생산된 중국산 플로트판유리( 「관세법 시행령」 제98조 제1항 에 따른 관세ㆍ통계통합품목분류표의 품목번호 제7005.21.4000호, 제7005.21.5000호, 제7005.21.6000호, 제7005.21.7010호, 제7005.21.7020호, 제7005.21.7030호, 제7005.29.4010호, 제7005.29.4090호, 제7005.29.5010호, 제7005.29.5090호, 제7005.29.6010호, 제7005.29.6090호, 제7005.29.7010호, 제7005.29.7090호, 제7005.29.8010호, 제7005.29.8090호, 제7005.29.9010호 및 제7005.29.9090호에 해당하는 것을 말한다) 중 다음 각 호의 어느 하나에 해당하는 것으로 한다. 다만, 코팅유리(coated glass), 무늬유리(patterned glass), 망입(網入)유리(wired glass), 복층유리(insulating glass), 강화유리(tempered glass), 접합유리(laminated glass), 에칭유리(etched glass) 및 저철분유리(low iron glass) 등 판유리의 효용을 개선하기 위해 가공한 유리는 제외한다. 1. 맑은 유리(clear float glass): 두께가 4밀리미터를 초과하고 13밀리미터 미만인 것 2. 색유리 중 그린유리(green glass): 두께가 4밀리미터를 초과하고 13밀리미터 미만인 것 || 제3조(부과대상 물품의 공급자 및 덤핑방지관세율) 제2조 에 따른 부과대상 물품의 공급자와 그 공급자별 덤핑방지관세율은 별표 와 같다.</t>
  </si>
  <si>
    <t>다만, 코팅유리(coated glass), 무늬유리(patterned glass), 망입(網入)유리(wired glass), 복층유리(insulating glass), 강화유리(tempered glass), 접합유리(laminated glass), 에칭유리(etched glass) 및 저철분유리(low iron glass) 등 판유리의 효용을 개선하기 위해 가공한 유리는 제외한다. 1. 맑은 유리(clear float glass): 두께가 4밀리미터를 초과하고 13밀리미터 미만인 것 2. 색유리 중 그린유리(green glass): 두께가 4밀리미터를 초과하고 13밀리미터 미만인 것</t>
  </si>
  <si>
    <t>M116</t>
  </si>
  <si>
    <t>미국 및 프랑스산 부틸글리콜에테르에 대한 덤핑방지관세 부과에 관한 규칙</t>
  </si>
  <si>
    <t>2022-07-26</t>
  </si>
  <si>
    <t>2022-07-26 제정</t>
  </si>
  <si>
    <t>제2조(부과대상 물품) 덤핑방지관세가 부과되는 물품은 미국 및 프랑스산 부틸글리콜에테르( 「관세법 시행령」 제98조 제1항 에 따른 관세ㆍ통계통합품목분류표의 품목번호 제2909.43.0000호에 해당하는 것을 말한다)로 한다. || 제3조(부과대상 물품의 공급자 및 덤핑방지관세율) 제2조 에 따른 부과대상 물품의 공급자와 그 공급자별 덤핑방지관세율은 별표 와 같다.</t>
  </si>
  <si>
    <t>M117</t>
  </si>
  <si>
    <t>사우디아라비아산 부틸글리콜에테르에 대한 덤핑방지관세 부과에 관한 규칙</t>
  </si>
  <si>
    <t>2022-09-05</t>
  </si>
  <si>
    <t>2022-09-05 제정</t>
  </si>
  <si>
    <t>제2조(부과대상 물품) 덤핑방지관세가 부과되는 물품은 사우디아라비아산 부틸글리콜에테르(「관세법 시행령」 제98조제1항에 따른 관세ㆍ통계통합품목분류표의 품목번호 제2909.43.0000호에 해당하는 것을 말한다)로 한다. || 제3조(부과대상 물품의 공급자 및 덤핑방지관세율) 제2조에 따른 부과대상 물품의 공급자와 그 공급자별 덤핑방지관세율은 별표와 같다.</t>
  </si>
  <si>
    <t>M118</t>
  </si>
  <si>
    <t>중국산 더블레이어 인쇄제판용 평면 모양 사진플레이트에 대한 덤핑방지관세 부과에 관한 규칙</t>
  </si>
  <si>
    <t>2022-10-25</t>
  </si>
  <si>
    <t>2022-10-25 제정</t>
  </si>
  <si>
    <t>제2조(부과대상 물품) 덤핑방지관세가 부과되는 물품은 중국산 더블레이어(double-layer) 인쇄제판용 평면 모양 사진플레이트( 「관세법 시행령」 제98조 제1항 에 따른 관세ㆍ통계통합품목분류표의 품목번호 제3701.30.2000호에 해당하는 것을 말한다) 중 다음 각 호의 요건을 모두 갖춘 것으로 한다. 다만, 포토폴리머 바이올렛판(Photopolymer Violet Plate) 및 재생판은 부과대상 물품에서 제외한다. 1. 알루미늄판의 표면을 전기ㆍ화학적으로 연마하여 산화막을 형성한 후 표면에 감광재를 2회 도포한 감광성 인쇄용 판일 것 2. 각 변의 길이가 255밀리미터(㎜)를 초과하고, 감광면이 2개층일 것 || 제3조(부과대상 물품의 공급자 및 덤핑방지관세율) 제2조 에 따른 부과대상 물품의 공급자와 그 공급자별 덤핑방지관세율은 별표 와 같다.</t>
  </si>
  <si>
    <t>다만, 포토폴리머 바이올렛판(Photopolymer Violet Plate) 및 재생판은 부과대상 물품에서 제외한다. 1. 알루미늄판의 표면을 전기ㆍ화학적으로 연마하여 산화막을 형성한 후 표면에 감광재를 2회 도포한 감광성 인쇄용 판일 것 2. 각 변의 길이가 255밀리미터(㎜)를 초과하고, 감광면이 2개층일 것</t>
  </si>
  <si>
    <t>M119</t>
  </si>
  <si>
    <t>중국ㆍ태국 및 인도네시아산 폴리아미드 필름에 대한 덤핑방지관세 부과에 관한 규칙</t>
  </si>
  <si>
    <t>2023-02-27</t>
  </si>
  <si>
    <t>2023-02-27 제정</t>
  </si>
  <si>
    <t>제2조(부과대상 물품) 덤핑방지관세가 부과되는 물품은 중국ㆍ태국 및 인도네시아산 연신 가공된 폴리아미드 필름(Biaxially Oriented Polyamide Film, BOPA Film)( 「관세법 시행령」 제98조 제1항 에 따른 관세ㆍ통계통합품목분류표의 품목번호 제3920.92.0000호에 해당하는 것을 말한다) 중 두께가 25마이크로미터(㎛) 이하인 것으로 한다. 다만, 금속 등이 증착(蒸着)된 제품이나 다른 필름 등과 합지(合紙)된 제품은 부과대상 물품에서 제외한다. || 제3조(부과대상 물품의 공급자 및 덤핑방지관세율) 제2조 에 따른 부과대상 물품의 공급자와 그 공급자별 덤핑방지관세율은 별표 와 같다.</t>
  </si>
  <si>
    <t>다만, 금속 등이 증착(蒸着)된 제품이나 다른 필름 등과 합지(合紙)된 제품은 부과대상 물품에서 제외한다.</t>
  </si>
  <si>
    <t>M120</t>
  </si>
  <si>
    <t>중국ㆍ베트남산 이음매 없는 동관에 대한 덤핑방지관세 부과에 관한 규칙</t>
  </si>
  <si>
    <t>2023-03-02</t>
  </si>
  <si>
    <t>제2조(부과대상 물품) 덤핑방지관세가 부과되는 물품은 중국ㆍ베트남산 이음매 없는 동관( 「관세법 시행령」 제98조 제1항 에 따른 관세ㆍ통계통합품목분류표의 품목번호 제7411.10.0000호에 해당하는 것을 말한다) 중 다음 각 호의 요건을 모두 갖춘 것으로 한다. 1. 바깥지름이 3.80밀리미터(mm) 이상 28.58밀리미터(mm) 이하인 것 2. 두께가 0.20밀리미터(mm) 이상 2.00밀리미터(mm) 이하인 것[관 내부가 홈 가공된 제품은 저면(bottom wall) 두께를 기준으로 한다] 3. 길이가 50미터(m) 이상인 것 || 제3조(부과대상 물품의 공급자 및 덤핑방지관세율) ① 제2조 에 따른 부과대상 물품의 공급자와 그 공급자별 덤핑방지관세율은 별표 1 과 같다. ② 제1항에도 불구하고 재정경제부장관이 「관세법」 제54조 제1항 에 따른 가격수정에 관한 약속을 수락한 별표 2 각 호의 공급자는 부과대상 공급자에서 제외한다. 다만, 해당 가격수정에 관한 약속을 이행하지 않은 경우에는 별표 1 에 따른 덤핑방지관세를 부과한다. &lt;개정 2026. 1. 2.&gt;</t>
  </si>
  <si>
    <t>② 제1항에도 불구하고 재정경제부장관이 「관세법」 제54조 제1항 에 따른 가격수정에 관한 약속을 수락한 별표 2 각 호의 공급자는 부과대상 공급자에서 제외한다. 다만, 해당 가격수정에 관한 약속을 이행하지 않은 경우에는 별표 1 에 따른 덤핑방지관세를 부과한다. &lt;개정 2026. 1. 2.&gt;</t>
  </si>
  <si>
    <t>■ 중국ㆍ 베트남산 이음매 없는 동관에 대한 덤핑방지관세 부과에 관한 규칙 [별표 2] 부과대상 공급자에서 제외되는 공급자(제3조제2항 본문 관련) 공급국 공급자 중국 1. 금룡신샹[Golden Dragon Precise Copper Tube (Xinxiang) Co., Ltd.]과 그 관계사인 다음 각 목의 기업 가. 금룡그룹(Golden Dragon Precise Copper Tube Group Inc.) 나. 상하이롱양(Shanghai Longyang Precise Compound Copper Tube Co., Ltd.) 다. 장수캉후안(Jiangsu Canghuan Copper Products Co., Ltd.) 리. 광동롱펑(Guangdong Longfeng Precise Copper Tube Co., Ltd.) 마. 롱커우롱펑(Longkou Longpeng Precise Copper Tube Co., Ltd.) 바. 충칭롱유(Chongqing Longyu Precision Copper Tube Co., Ltd.) 사. 허난롱휘(Henan Longhui Copper Industry Co., Ltd.) 2. 닝보진티엔(Ningbo Jintian Copper Tube Co., Ltd.)과 그 관계사인 장수싱롱 (Jiangsu Xingrong Copper Co., Ltd.) 또는 해당 기업의 제품을 수출하는 다 음 각 목의 자 가. 닝보진티엔그룹[Ningbo Jintian Copper (Group) Co. Ltd.] 나. 닝보진티엔수출입(NINGBO JINTIAN IMPORT &amp; EXPORT CO., LTD.) 다. 광동진티엔(GUANGDONG JINTIAN COPPER CO., LTD.) 3. 상하이하이량(Shanghai Hailiang Copper Co., Ltd.)과 그 관계사인 다음 각 목 의 기업 가. 하이량올탑[Hailiang Alltop Tube (Guangdong) Ltd.] 나. 저장하이량(Zhejiang Hailiang Co., Ltd.) 베트남 4. 진티엔베트남[Jintian Copper Industrial (Vietnam) Company Limited]과 그 기업의 제품을 수출하는 홍콩메이타임(Hongkong Maytime International Industry Limited) 5. 하이량베트남[Hailiang (Vietnam) Copper Manufacturing Co., Ltd.]과 그 기업의 제품을 수출하는 홍콩하이량(Hong Kong Hailiang Metal Trading Limited)</t>
  </si>
  <si>
    <t>제2조(부과대상 물품) 덤핑방지관세가 부과되는 물품은 중국ㆍ베트남산 이음매 없는 동관(「관세법 시행령」 제98조제1항에 따른 관세ㆍ통계통합품목분류표의 품목번호 제7411.10.0000호에 해당하는 것을 말한다) 중 다음 각 호의 요건을 모두 갖춘 것으로 한다. 1. 바깥지름이 3.80밀리미터(mm) 이상 28.58밀리미터(mm) 이하인 것 2. 두께가 0.20밀리미터(mm) 이상 2.00밀리미터(mm) 이하인 것[관 내부가 홈 가공된 제품은 저면(bottom wall) 두께를 기준으로 한다] 3. 길이가 50미터(m) 이상인 것 || 제3조(부과대상 물품의 공급자 및 덤핑방지관세율) ① 제2조에 따른 부과대상 물품의 공급자와 그 공급자별 덤핑방지관세율은 별표 1과 같다. ② 제1항에도 불구하고 기획재정부장관이 「관세법」 제54조제1항에 따른 가격수정에 관한 약속을 수락한 별표 2 각 호의 공급자는 부과대상 공급자에서 제외한다. 다만, 해당 가격수정에 관한 약속을 이행하지 않은 경우에는 별표 1에 따른 덤핑방지관세를 부과한다.</t>
  </si>
  <si>
    <t>M121</t>
  </si>
  <si>
    <t>중국 및 호주산 수산화알루미늄에 대한 덤핑방지관세 부과에 관한 규칙</t>
  </si>
  <si>
    <t>2023-04-28</t>
  </si>
  <si>
    <t>2024-01-24 일부개정</t>
  </si>
  <si>
    <t>제2조(부과대상 물품) 덤핑방지관세가 부과되는 물품은 중국 및 호주산 수산화알루미늄( 「관세법 시행령」 제98조 제1항 에 따른 관세ㆍ통계통합품목분류표의 품목번호 제2818.30.9000호에 해당하는 것을 말한다) 으로 화학식 Al(OH)3를 가지는 백색 분말 상태의 알루미늄 수화물(水化物) 중 평균 입도(Dp50)가 55㎛ 이상인 것으로 한다. 다만, 별표 1 에 해당하는 물품은 제외한다. || 제3조(부과대상 물품의 공급자 및 덤핑방지관세율) 제2조 에 따른 부과대상 물품의 공급자와 그 공급자별 덤핑방지관세율은 별표 2 와 같다.</t>
  </si>
  <si>
    <t>다만, 별표 1 에 해당하는 물품은 제외한다.</t>
  </si>
  <si>
    <t>■ 중국 및 호주산 수산화알루미늄에 대한 덤핑방지관세 부과에 관한 규칙 [별표 1] 덤핑방지관세 부과대상에서 제외되는 물품(제2조 단서 관련) 공급국 공급자 제품 모델 백색도 (YS/T 469-2 004) 중국 찰코산동신소재(CHALCO Shandong Advanced Material Co., Ltd.) 또는 찰코중주신소재(CHALCO Zhongzhou Advanced Material Co., Ltd.) HC110A 90 이상 HC110KK H-WF-60-SP H-WF-75 H-WF-75-SP H-WF-90 H-WF-90-SP H-WF-100 H-WF-50C-SP</t>
  </si>
  <si>
    <t>제2조(부과대상 물품) 덤핑방지관세가 부과되는 물품은 중국 및 호주산 수산화알루미늄(「관세법 시행령」 제98조제1항에 따른 관세ㆍ통계통합품목분류표의 품목번호 제2818.30.9000호에 해당하는 것을 말한다) 으로 화학식 Al(OH)3를 가지는 백색 분말 상태의 알루미늄 수화물(水化物) 중 평균 입도(Dp50)가 55㎛ 이상인 것으로 한다. 다만, 별표 1에 해당하는 물품은 제외한다. || 제3조(부과대상 물품의 공급자 및 덤핑방지관세율) 제2조에 따른 부과대상 물품의 공급자와 그 공급자별 덤핑방지관세율은 별표 2와 같다.</t>
  </si>
  <si>
    <t>■ 중국 및 호주산 수산화알루미늄에 대한 덤핑방지관세 부과에 관한 규칙 [별표 1] 덤핑방지관세 부과대상에서 제외되는 물품(제2조 단서 관련) 공급국 공급자 제품 모델 백색도 (YS/T 469-2004) 중국 찰코산동신소재(CHALCO Shandong Advanced Material Co., Ltd.) 또는 찰코중주신소재(CHALCO Zhongzhou Advanced Material Co., Ltd.) HC110A 90 이상 HC110KK H-WF-60-SP H-WF-75 H-WF-75-SP H-WF-90 H-WF-90-SP H-WF-100 H-WF-50C-SP</t>
  </si>
  <si>
    <t>M122</t>
  </si>
  <si>
    <t>2023-05-08</t>
  </si>
  <si>
    <t>2026-02-27 일부개정</t>
  </si>
  <si>
    <t>제2조(부과대상 물품) 덤핑방지관세가 부과되는 물품은 중국 및 인도산 폴리에틸렌 테레프탈레이트(Polyethylene Terephthalate, PET) 필름( 「관세법 시행령」 제98조 제1항 에 따른 관세ㆍ통계통합품목분류표의 품목번호 제3920.62.0000호 또는 제3920.69.0000호에 해당하는 것을 말한다)으로 한다. 다만, 별표 1 에 해당하는 물품은 제외한다. || 제3조(부과대상 물품의 공급자 및 덤핑방지관세율) 제2조 에 따른 부과대상 물품의 공급자와 그 공급자별 덤핑방지관세율은 별표 2 와 같다.</t>
  </si>
  <si>
    <t>■ 중국 및 인도산 폴리에틸렌 테레프탈레이트(PET) 필름에 대한 덤핑방지관세 부과에 관한 규칙 [별표 1] 덤핑방지관세 부과대상에서 제외되는 물품(제2조 단서 관련) 1. 두께가 9마이크로미터(㎛) 미만으로서 증착되지 않은 폴리에틸렌 테레프탈레이트 필름 2. 비냉매용 모터 절연용(絶緣用)으로 사용되는 두께 125마이크로미터 이상인 흰색 의 폴리에틸렌 테레프탈레이트 필름으로서 다음 각 목의 요건을 모두 갖춘 것 가. 규격 미국 보험협회 안전시험소(Underwriters Laboratory Inc.)에서 지정한 시험방식 에 따라 측정한 전기적 및 기계적 내열성(Relative Thermal Index, RTI)이 각 각 섭씨 105도 이상이고 흐림도(Haze)가 70퍼센트 이상일 것 나. 모델명 Garfilm EM6(인도 Garware Polyester Limited 제품), J-470(인도 Jindal Polyfilms Limited 제품) 3. 냉매용 모터 절연용으로 사용되는 두께 125마이크로미터 이상인 흰색의 폴리에틸 렌 테레프탈레이트 필름으로서 다음 각 목의 요건을 모두 갖춘 것 가. 규격 미국 보험협회 안전시험소에서 지정한 시험방식에 따라 측정한 전기적 및 기계 적 내열성이 각각 섭씨 140도, 125도 이상이고 소중합체(小重合體, Oligomer) 추출비율이 0.65퍼센트 이하이며 흐림도가 75퍼센트 이상일 것 나. 모델명 Garfilm EM6-L.O.(인도 Garware Polyester Limited 제품) 4. 홀로그램 폴리에틸렌 테레프탈레이트 필름 5. 안료를 다른 원재료에 배합하여 생산한 유채색(有彩色)의 폴리에틸렌 테레프탈레 이트 필름으로서 두께가 300마이크로미터 이상인 것 6. 태양광 모듈용 격자무늬 투명 백시트(Back Sheet)</t>
  </si>
  <si>
    <t>제2조(부과대상 물품) 덤핑방지관세가 부과되는 물품은 중국 및 인도산 폴리에틸렌 테레프탈레이트(Polyethylene Terephthalate, PET) 필름(「관세법 시행령」 제98조제1항에 따른 관세ㆍ통계통합품목분류표의 품목번호 제3920.62.0000호 또는 제3920.69.0000호에 해당하는 것을 말한다)으로 한다. 다만, 별표 1에 해당하는 물품은 제외한다. || 제3조(부과대상 물품의 공급자 및 덤핑방지관세율) 제2조에 따른 부과대상 물품의 공급자와 그 공급자별 덤핑방지관세율은 별표 2와 같다.</t>
  </si>
  <si>
    <t>M123</t>
  </si>
  <si>
    <t>베트남 및 인도산 페로실리코망간에 대한 덤핑방지관세 부과에 관한 규칙</t>
  </si>
  <si>
    <t>2023-07-21</t>
  </si>
  <si>
    <t>2023-07-21 제정</t>
  </si>
  <si>
    <t>제2조(부과대상 물품) 덤핑방지관세가 부과되는 물품은 베트남 및 인도산 페로실리코망간( 「관세법 시행령」 제98조 제1항 에 따른 관세ㆍ통계통합품목분류표의 품목번호 제7202.30.0000호에 해당하는 것을 말한다)으로 한다. || 제3조(부과대상 물품의 공급자 및 덤핑방지관세율) 제2조 에 따른 부과대상 물품의 공급자와 그 공급자별 덤핑방지관세율은 별표 와 같다.</t>
  </si>
  <si>
    <t>M124</t>
  </si>
  <si>
    <t>2024-03-18</t>
  </si>
  <si>
    <t>2024-03-18 제정</t>
  </si>
  <si>
    <t>제2조(부과대상 물품) 덤핑방지관세가 부과되는 물품은 일본ㆍ중국 및 핀란드산 도공(Coated) 인쇄용지( 「관세법 시행령」 제98조 제1항 에 따른 관세ㆍ통계통합품목분류표의 품목번호 제4810.13.1000호, 제4810.14.0000호, 제4810.19.1000호, 제4810.19.9000호, 제4810.22.0000호, 제4810.29.0000호에 해당하는 것을 말한다) 중 1제곱미터당 중량이 55그램 초과 110그램 이하인 제품으로 한다. || 제3조(부과대상 물품의 공급자 및 덤핑방지관세율) 제2조 에 따른 부과대상 물품의 공급자와 그 공급자별 덤핑방지관세율은 별표 와 같다.</t>
  </si>
  <si>
    <t>M125</t>
  </si>
  <si>
    <t>이집트산 백색 시멘트에 대한 덤핑방지관세 부과에 관한 규칙</t>
  </si>
  <si>
    <t>2024-04-30</t>
  </si>
  <si>
    <t>2024-04-30 제정</t>
  </si>
  <si>
    <t>제2조(부과대상 물품) 덤핑방지관세가 부과되는 물품은 이집트산 백색 시멘트( 「관세법 시행령」 제98조 제1항 에 따른 관세ㆍ통계통합품목분류표의 품목번호 제2523.21.0000호에 해당하는 것을 말한다)로 한다. || 제3조(부과대상 물품의 공급자 및 덤핑방지관세율) 제2조 에 따른 부과대상 물품의 공급자와 그 공급자별 덤핑방지관세율은 별표 와 같다.</t>
  </si>
  <si>
    <t>M126</t>
  </si>
  <si>
    <t>2024-07-02</t>
  </si>
  <si>
    <t>2024-07-02 제정</t>
  </si>
  <si>
    <t>제2조(부과대상 물품) 덤핑방지관세가 부과되는 물품은 말레이시아산 합판( 「관세법 시행령」 제98조 제1항 에 따른 관세ㆍ통계통합품목분류표의 품목번호 제4412.31호, 제4412.33호 또는 제4412.34호에 해당하는 것을 말한다) 중 두께가 6밀리미터(㎜) 이상인 것으로 한다. || 제3조(부과대상 물품의 공급자 및 덤핑방지관세율) 제2조 에 따른 부과대상 물품의 공급자와 그 공급자별 덤핑방지관세율은 별표 와 같다.</t>
  </si>
  <si>
    <t>M127</t>
  </si>
  <si>
    <t>제2조(부과대상 물품) 덤핑방지관세가 부과되는 물품은 베트남산 합판( 「관세법 시행령」 제98조 제1항 에 따른 관세ㆍ통계통합품목분류표의 품목번호 제4412.31호, 제4412.33호, 제4412.34호, 제4412.39호, 제4412.91호, 제4412.92호 또는 제4412.99호에 해당하는 것을 말한다) 중 두께가 6밀리미터(㎜) 이상인 것으로 한다. || 제3조(부과대상 물품의 공급자 및 덤핑방지관세율) 제2조 에 따른 부과대상 물품의 공급자와 그 공급자별 덤핑방지관세율은 별표 와 같다.</t>
  </si>
  <si>
    <t>M128</t>
  </si>
  <si>
    <t>제2조(부과대상 물품) 덤핑방지관세가 부과되는 물품은 중국산 합판[세 개 이상의 단판(單板)을 층층이 쌓아 접착한 것으로서 「관세법 시행령」 제98조 제1항 에 따른 관세ㆍ통계통합품목분류표의 품목번호 제4412.39.9000호 또는 제4412.99.1000호에 해당하는 것을 말한다]으로서 다음 각 호의 요건을 모두 갖춘 것으로 한다. 1. 전체 두께가 6밀리미터(㎜) 이상일 것 2. 양쪽 겉면의 단판이 침엽수 목재일 것 3. 단판의 섬유 방향이 다른 단판의 섬유 방향과 교차할 것 || 제3조(부과대상 물품의 공급자 및 덤핑방지관세율) 제2조 에 따른 부과대상 물품의 공급자와 그 공급자별 덤핑방지관세율은 별표 와 같다.</t>
  </si>
  <si>
    <t>M129</t>
  </si>
  <si>
    <t>제2조(부과대상 물품) 덤핑방지관세가 부과되는 물품은 중국산 합판( 「관세법 시행령」 제98조 제1항 에 따른 관세ㆍ통계통합품목분류표의 품목번호 제4412.31호, 제4412.33호 또는 제4412.34호에 해당하는 것을 말한다) 중 두께가 6밀리미터(㎜) 이상인 것으로 한다. || 제3조(부과대상 물품의 공급자 및 덤핑방지관세율) 제2조 에 따른 부과대상 물품의 공급자와 그 공급자별 덤핑방지관세율은 별표 와 같다.</t>
  </si>
  <si>
    <t>M130</t>
  </si>
  <si>
    <t>중국산 폴리(에틸렌 테레프탈레이트)에 대한 덤핑방지관세 부과에 관한 규칙</t>
  </si>
  <si>
    <t>2024-11-30</t>
  </si>
  <si>
    <t>2024-11-30 제정</t>
  </si>
  <si>
    <t>제2조(부과대상 물품) 덤핑방지관세가 부과되는 물품은 중국산 폴리(에틸렌 테레프탈레이트)( 「관세법 시행령」 제98조 제1항 에 따른 관세ㆍ통계통합품목분류표의 품목번호 제3907.61.0000호에 해당하는 것을 말한다) 중 폴리(에틸렌 테레프탈레이트) 수지로 한다. || 제3조(부과대상 물품의 공급자 및 덤핑방지관세율) 제2조 에 따른 부과대상 물품의 공급자와 그 공급자별 덤핑방지관세율은 별표 와 같다.</t>
  </si>
  <si>
    <t>M131</t>
  </si>
  <si>
    <t>2025-04-25</t>
  </si>
  <si>
    <t>2025-04-25 제정</t>
  </si>
  <si>
    <t>제2조(부과대상 물품) 덤핑방지관세가 부과되는 물품은 중국ㆍ인도네시아 및 태국산 폴리프로필렌 연신필름( 「관세법 시행령」 제98조 제1항 에 따른 관세ㆍ통계통합품목분류표의 품목번호 제3920.20.0000호 또는 제3921.90.2000호에 해당하는 것을 말한다) 중 두께가 10마이크로미터(㎛) 이상인 것으로 한다. 다만, 별표 1 에 규정된 물품은 제외한다. || 제3조(부과대상 물품의 공급자 및 덤핑방지관세율) 제2조 에 따른 부과대상 물품의 공급자와 그 공급자별 덤핑방지관세율은 별표 2 와 같다.</t>
  </si>
  <si>
    <t>다만, 별표 1 에 규정된 물품은 제외한다.</t>
  </si>
  <si>
    <t>■ 중국ㆍ 인도네시아 및 태국산 폴리프로필렌 연신필름에 대한 덤핑방지관세 부과에 관한 규칙 [별표 1] 덤핑방지관세 부과대상에서 제외되는 물품(제2조 단서 관련) 공급국 공급자 모델명 두께(㎛) 인도네 시아 인도폴리(PT Indopoly Swakarsa Industry Tbk.) DHR 18 SHO 23, 25 SHR 18, 20, 25 SHRV 25 DHSH 18 아르가(PT Argha Karya Prima Industry Tbk.) PSP 20 PXAS 23 PXA 20, 23, 33 트리아스(PT Trias Sentosa Tbk.) HSS 18, 19.5 THSS 18 THSSO 18 THSWO 18 HSB 17.6</t>
  </si>
  <si>
    <t>M132</t>
  </si>
  <si>
    <t>2025-05-16</t>
  </si>
  <si>
    <t>제2조(부과대상 물품) 덤핑방지관세가 부과되는 물품은 중국ㆍ인도네시아 및 대만산 스테인리스강 평판압연( 「관세법 시행령」 제98조 제1항 에 따른 관세ㆍ통계통합품목분류표의 품목번호 제7219.12.1010호, 제7219.12.1090호, 제7219.12.9000호, 제7219.13.1010호, 제7219.13.1090호, 제7219.13.9000호, 제7219.14.1010호, 제7219.14.1090호, 제7219.14.9000호, 제7219.22.1010호, 제7219.22.1090호, 제7219.22.9000호, 제7219.23.1010호, 제7219.23.1090호, 제7219.23.9000호, 제7219.24.1010호, 제7219.24.1090호, 제7219.24.9000호, 제7219.31.1010호, 제7219.31.1090호, 제7219.31.9000호, 제7219.32.1010호, 제7219.32.1090호, 제7219.32.9000호, 제7219.33.1010호, 제7219.33.1090호, 제7219.33.9000호, 제7219.34.1010호, 제7219.34.1090호, 제7219.34.9000호, 제7219.35.1010호, 제7219.35.1090호, 제7219.35.9000호, 제7219.90.1010호, 제7219.90.1090호, 제7219.90.9000호, 제7220.11.1010호, 제7220.11.1090호, 제7220.11.9000호, 제7220.12.1010호, 제7220.12.1090호, 제7220.12.9000호, 제7220.20.1010호, 제7220.20.1090호, 제7220.20.9000호, 제7220.90.1010호, 제7220.90.1090호 또는 제7220.90.9000호에 해당하는 것을 말한다) 중 두께가 8밀리미터(㎜) 이하인 것으로 한다. 다만, 별표 1 에 규정된 물품은 제외한다.</t>
  </si>
  <si>
    <t>■ 중국ㆍ 인도네시아 및 대만산 스테인리스강 평판압연에 대한 덤핑방지관세 부과에 관한 규칙 [별표 1] 덤핑방지관세 부과대상에서 제외되는 물품(제2조 단서 관련) 1. 미국재료시험협회(ASTM: American Society for Testing Materials) 규격상 S312 54, S31803, S32050, S32205, S32750 및 N08367에 해당하는 강종(鋼種)의 제품 2. 니켈계(니켈이 함유된 것을 말하며, 니켈과 다른 원소가 함께 함유된 것을 포함 한다)이고 니켈 함유량이 전체 중량의 6% 미만이며 망간 함유량이 전체 중량의 3% 이상인 200계 제품(「관세법 시행령」제98조제1항에 따른 관세ㆍ 통계통합품목 분류표의 품목번호 제7219.12.1010호, 제7219.13.1010호, 제7219.14.1010호, 제7219.22. 1010호, 제7219.23.1010호, 제7219.24.1010호, 제7219.31.1010호, 제7219.32.1010호, 제721 9.33.1010호, 제7219.34.1010호, 제7219.35.1010호, 제7219.90.1010호, 제7220.11.1010호, 제 7220.12.1010호, 제7220.20.1010호 또는 제7220.90.1010호에 해당하는 것을 말한다) 3. 폭이 2,000밀리미터 이상인 열간압연 제품 4. 미국재료시험협회 규격상 316 또는 316L에 해당하는 강종으로서 두께가 3.0밀리 미터 이상 4.0밀리미터 이하이고 폭이 1,524밀리미터 이상인 열간압연 제품 5. 중국국가표준(GB: GuoBiao)상 2Cr13, 3Cr13, 4Cr13, 6Cr13에 해당하는 강종으로 서 두께가 3밀리미터 이하이고 폭이 400밀리미터 이하이며 경도가 250HV 이상 35 0HV 이하인 제품 6. 다음 각 목의 요건을 모두 갖춘 제품 가. 규소 함유량이 전체 중량의 0.3% 이상 0.6% 이하일 것 나. 망간 함유량이 전체 중량의 0.9% 이상 1.3% 이하일 것 다. 니켈 함유량이 전체 중량의 10.0% 이상 11.5% 이하일 것 라. 크롬 함유량이 전체 중량의 18.0% 이상 19.5% 이하일 것 마. 황 함유량이 전체 중량의 0.005% 이하일 것 바. 구리 함유량이 전체 중량의 0.01% 이하일 것 사. 인 함유량이 전체 중량의 0.013% 이하일 것 아. 탄소 함유량이 전체 중량의 0.015% 이하일 것 자. 질소 함유량이 전체 중량의 0.025% 이하일 것 차. 몰리브덴 함유량이 전체 중량의 0.3% 이하일 것 카. 두께가 0.34밀리미터 이상 0.36밀리미터 이하일 것 7. 0.05밀리미터 두께의 니트릴 부타디엔 고무(Nitrile Butadiene Rubber)가 양면에 코팅된 스테인리스강 냉간압연제품으로서 다음 각 목의 요건을 모두 갖춘 제품 가. 니켈 함유량이 전체 중량의 6% 이상 8% 이하일 것 나. 크롬 함유량이 전체 중량의 16% 이상 18% 이하일 것 다. 황 함유량이 전체 중량의 0.03% 이하일 것 라 인 함유량이 전체 중량의 0.045% 이하일 것 마. 질소 함유량이 전체 중량의 0.1% 이하일 것 바. 탄소 함유량이 전체 중량의 0.15% 이하일 것 사. 규소 함유량이 전체 중량의 1% 이하일 것 아. 망간 함유량이 전체 중량의 2% 이하일 것 자. 두께(니트릴 부타디엔 고무 코팅을 제외한 부분의 두께를 말한다)가 0.2밀리미 터일 것 || ■ 중국ㆍ 인도네시아 및 대만산 스테인리스강 평판압연에 대한 덤핑방지관세 부과에 관한 규칙 [별표 2] 부과대상 공급자에서 제외되는 공급자(제3조제2항 본문 관련) 공급국 공급자 중국 1. 산시타이강(Shanxi Taigang Stainless Steel Co., Ltd.)과 다음 각 목의 관계사 가. 티스코홍콩[TISCO Stainless Steel (H.K.) Limited] 나. 티스코트레이딩[TISCO Trading (H.K.) LTD.] 다. 타이강보세(Shanxi Taigang Bonded &amp; Comprehensive Service Co., LTD.) 2. 리스코(ANGANG LIANZHONG STAINLESS STEEL CORPORA TION) 인도네시아 3. 인니청산(PT. INDONESIA TSINGSHAN STAINLESS STEEL)과 다음 각 목의 관계사 가. 광칭(PT. INDONESIA GUANG CHING NICKEL AND STAIN LESS STEEL INDUSTRY) 나. 루이푸(PT. INDONESIA RUIPU NICKEL AND CHROME AL LOY) 다. 이터널청산(ETERNAL TSINGSHAN GROUP LIMITED) 라. 골든하버(GOLDEN HARBOUR INTERNATIONAL PTE. LTD.) 대만 4. 유스코(Yieh United Steel Corporation)와 다음 각 목의 관계사 가. 이예마우(Yieh Mau Corp.) 나. 탕엉(Tang Eng Iron Works Co., Ltd.) 다. 와이씨엘(Yieh Corporation Limited) 5. 왈신(Walsin Lihwa Corporation)</t>
  </si>
  <si>
    <t>제2조(부과대상 물품) 덤핑방지관세가 부과되는 물품은 중국ㆍ인도네시아 및 대만산 스테인리스강 평판압연(「관세법 시행령」 제98조제1항에 따른 관세ㆍ통계통합품목분류표의 품목번호 제7219.12.1010호, 제7219.12.1090호, 제7219.12.9000호, 제7219.13.1010호, 제7219.13.1090호, 제7219.13.9000호, 제7219.14.1010호, 제7219.14.1090호, 제7219.14.9000호, 제7219.22.1010호, 제7219.22.1090호, 제7219.22.9000호, 제7219.23.1010호, 제7219.23.1090호, 제7219.23.9000호, 제7219.24.1010호, 제7219.24.1090호, 제7219.24.9000호, 제7219.31.1010호, 제7219.31.1090호, 제7219.31.9000호, 제7219.32.1010호, 제7219.32.1090호, 제7219.32.9000호, 제7219.33.1010호, 제7219.33.1090호, 제7219.33.9000호, 제7219.34.1010호, 제7219.34.1090호, 제7219.34.9000호, 제7219.35.1010호, 제7219.35.1090호, 제7219.35.9000호, 제7219.90.1010호, 제7219.90.1090호, 제7219.90.9000호, 제7220.11.1010호, 제7220.11.1090호, 제7220.11.9000호, 제7220.12.1010호, 제7220.12.1090호, 제7220.12.9000호, 제7220.20.1010호, 제7220.20.1090호, 제7220.20.9000호, 제7220.90.1010호, 제7220.90.1090호 또는 제7220.90.9000호에 해당하는 것을 말한다) 중 두께가 8밀리미터(㎜) 이하인 것으로 한다. 다만, 별표 1에 규정된 물품은 제외한다.</t>
  </si>
  <si>
    <t>M133</t>
  </si>
  <si>
    <t>베트남산 스테인리스강 냉간압연에 대한 덤핑방지관세 부과에 관한 규칙</t>
  </si>
  <si>
    <t>2025-07-11</t>
  </si>
  <si>
    <t>2025-07-11 제정</t>
  </si>
  <si>
    <t>제2조(부과대상 물품) 덤핑방지관세가 부과되는 물품은 베트남산 스테인리스강 냉간압연( 「관세법 시행령」 제98조 제1항 에 따른 관세ㆍ통계통합품목분류표의 품목번호 제7219.31.1010호, 제7219.31.1090호, 제7219.31.9000호, 제7219.32.1010호, 제7219.32.1090호, 제7219.32.9000호, 제7219.33.1010호, 제7219.33.1090호, 제7219.33.9000호, 제7219.34.1010호, 제7219.34.1090호, 제7219.34.9000호, 제7219.35.1010호, 제7219.35.1090호, 제7219.35.9000호, 제7219.90.1010호, 제7219.90.1090호, 제7219.90.9000호, 제7220.20.1010호, 제7220.20.1090호, 제7220.20.9000호, 제7220.90.1010호, 제7220.90.1090호 또는 제7220.90.9000호에 해당하는 것을 말한다)으로 한다.</t>
  </si>
  <si>
    <t>M134</t>
  </si>
  <si>
    <t>중국 및 대만산 석유수지에 대한 덤핑방지관세 부과에 관한 규칙</t>
  </si>
  <si>
    <t>2025-08-01</t>
  </si>
  <si>
    <t>2025-08-01 제정</t>
  </si>
  <si>
    <t>제2조(부과대상 물품) 덤핑방지관세가 부과되는 물품은 중국 및 대만산 석유수지( 「관세법 시행령」 제98조 제1항 에 따른 관세ㆍ통계통합품목분류표의 품목번호 제3911.10.1000호에 해당하는 것을 말한다)로 한다. 다만, 연화점(軟化點)이 섭씨 130도 이상인 C9 계열의 석유수지는 제외한다.</t>
  </si>
  <si>
    <t>다만, 연화점(軟化點)이 섭씨 130도 이상인 C9 계열의 석유수지는 제외한다.</t>
  </si>
  <si>
    <t>M135</t>
  </si>
  <si>
    <t>중국산 스테인리스강 후판에 대한 덤핑방지관세 부과에 관한 규칙</t>
  </si>
  <si>
    <t>2025-09-05</t>
  </si>
  <si>
    <t>2025-09-05 제정</t>
  </si>
  <si>
    <t>제2조(부과대상 물품) 덤핑방지관세가 부과되는 물품은 중국산 스테인리스강 후판(厚板)( 「관세법 시행령」 제98조 제1항 에 따른 관세ㆍ통계통합품목분류표의 품목번호 제7219.21.1010호, 제7219.21.1090호, 제7219.21.9000호, 제7219.22.1010호, 제7219.22.1090호 또는 제7219.22.9000호에 해당하는 것을 말한다)으로 한다. 다만, 다음 각 호의 어느 하나에 해당하는 물품은 제외한다. 1. 스테인리스 슬래브를 열간(熱間) 상태에서 압연한 후 생산한 코일 형태의 제품 2. 스테인리스 슬래브를 열간 상태에서 압연한 후 생산한 흑판(black plate) 형태의 제품 3. 두께가 8밀리미터 이하이고 폭이 2천밀리미터 미만인 제품 4. 미국재료시험협회(ASTM : American Society for Testing Materials) 규격 904L 강종(鋼種)의 제품 || 제3조(부과대상 물품의 공급자 및 덤핑방지관세율) 제2조 에 따른 부과대상 물품의 공급자와 그 공급자별 덤핑방지관세율은 별표 와 같다.</t>
  </si>
  <si>
    <t>다만, 다음 각 호의 어느 하나에 해당하는 물품은 제외한다. 1. 스테인리스 슬래브를 열간(熱間) 상태에서 압연한 후 생산한 코일 형태의 제품 2. 스테인리스 슬래브를 열간 상태에서 압연한 후 생산한 흑판(black plate) 형태의 제품 3. 두께가 8밀리미터 이하이고 폭이 2천밀리미터 미만인 제품 4. 미국재료시험협회(ASTM : American Society for Testing Materials) 규격 904L 강종(鋼種)의 제품</t>
  </si>
  <si>
    <t>M136</t>
  </si>
  <si>
    <t>중국산 탄소강 및 그 밖의 합금강 열간압연 후판에 대한 덤핑방지관세 부과에 관한 규칙</t>
  </si>
  <si>
    <t>2025-11-24</t>
  </si>
  <si>
    <t>제2조(부과대상 물품) 덤핑방지관세가 부과되는 물품은 중국산 탄소강 및 그 밖의 합금강 열간압연 후판(厚板)( 「관세법 시행령」 제98조 제1항 에 따른 관세ㆍ통계통합품목분류표의 품목번호 제7208.51.1000호, 제7208.51.9000호, 제7208.52.1000호, 제7208.52.9000호, 제7225.40.9010호, 제7225.40.9091호 또는 제7225.40.9099호에 해당하는 것을 말한다) 중 다음 각 호의 요건을 모두 갖춘 것으로 한다. 다만, 별표 1 에 규정된 물품은 제외한다. 1. 두께가 4.75밀리미터(㎜) 이상일 것 2. 폭이 600밀리미터 이상일 것 3. 코일(coil) 모양이 아닐 것 4. 냉간압연(冷間壓延)을 하지 않은 것일 것</t>
  </si>
  <si>
    <t>다만, 별표 1 에 규정된 물품은 제외한다. 1. 두께가 4.75밀리미터(㎜) 이상일 것 2. 폭이 600밀리미터 이상일 것 3. 코일(coil) 모양이 아닐 것 4. 냉간압연(冷間壓延)을 하지 않은 것일 것</t>
  </si>
  <si>
    <t>■ 중국산 탄소강 및 그 밖의 합금강 열간압연 후판에 대한 덤핑방지관세 부과에 관 한 규칙 [별표 1] 덤핑방지관세 부과대상에서 제외되는 물품(제2조 각 호 외의 부분 단서 관련) 1. 「관세법 시행령」 제98조제1항에 따른 관세ㆍ 통계통합품목분류표의 품목번호 제 7208.51.1000호 또는 제7208.51.9000호에 해당하는 것 중 다음 각 목의 제품 가. 미국기계기술자협회(American Society of Mechanical Engineers, 이하 "AS ME"라 한다) 규격 SA516-70(두께 134밀리미터 이상) 나. ASME 규격 SA299-Grade B(두께 50밀리미터 이상) 다. ASME 규격 SA302-Grade B 라. ASME 규격 SA302-Grade C || ■ 중국산 탄소강 및 그 밖의 합금강 열간압연 후판에 대한 덤핑방지관세 부과에 관한 규칙 [별표 2] 부과대상 공급자에서 제외되는 공급자(제3조제2항 본문 관련) 공급국 공급자 중국 1. 다음 각 목의 회사 가. 바오 스틸(Baoshan Iron &amp; Steel Co., Ltd.) 나. 우한 스틸(Wuhan Iron &amp; Steel Co., Ltd.) 다. 메이산 스틸(Shanghai Meishan Iron &amp; Steel Co., Ltd.), 라. 바오스틸 짠쟝(Baosteel Zhanjiang Iron &amp; Steel Co., Ltd.) 마. 산동 르자오(Shandong Iron And Steel Group Rizhao Co., Ltd.) 바. 가목부터 마목까지의 기업의 제품을 수출하는 호와 무역(Howa Trading Co., Ltd.) 2. 장수 사강(Jiangsu Shagang Steel Co., Ltd.)과 그 기업의 제품을 수출하는 다음 각 목의 관계사 가. 장수 사강 국제(Jiangsu Shagang International Trade Co., Ltd.) 나. 사강 싱가포르[Shagang International (Singapore) Pte. Ltd.] 다. 콴탁 국제[Kwan Tak International (Singapore) Pte. Ltd.] 3. 샹탄 스틸(Hunan Valin Xiangtan Iron And Steel Co., Ltd.)과 그 기업의 제품을 수출하는 샹탄 싱가포르[Xisc (Singapore) Pte. Ltd.] 4. 안강 스틸(Angang Steel Co., Ltd)과 그 기업의 제품을 수출하는 안강 홍콩(Angang Group Hong Kong Co., Ltd) 5. 쟝인 싱청(Jiangyin Xingcheng Special Steel Works Co., Ltd.) 6. 난징 스틸(Nanjing Iron and Steel Co., Ltd.)과 그 기업의 제품을 수출하는 다음 각 목의 관계사 가. 싱가포르 진텅 국제(Singapore Jinteng International Pte. Ltd.) 나. 난징 국제(Nanjing Iron and Steel Group International Trade Co., Ltd.) 7. 징예 강판[Jingye (Yingkou) Medium Plate Co., Ltd.]과 그 기업의 제품을 수출하는 다음 각 목의 관계사 가. 징예 싱가포르[Jingye International (Singapore) Company Pte. Ltd.] 나. 징예 홍콩[Jingye International (HK) Co., Ltd] 다. 탑 홍콩[Top (HK) Commodities International Limited] 라. 유에스알 국제(USR International Limited) 마. 케이에스씨 홍콩(KSC Hongkong Limited) 바. 큐믹 스틸(Cumic Steel Limited) 8. 중푸 한단[Zhongpu (Handan) Iron And Steel Co., Ltd.]과 그 기업 의 제품을 수출하는 다음 각 목의 관계사 가. 허베이 푸양(Hebei Puyang New Material Industry Co., Ltd.) 나. 하이난 푸양(Hainan Puyang Supply Chain Management Co., Ltd.) 9. 허강 우양(HBIS Wuyang Iron and Steel Co., Ltd.)과 그 기업의 제품을 수출하는 유에스알 국제(USR International Limited)</t>
  </si>
  <si>
    <t>제2조(부과대상 물품) 덤핑방지관세가 부과되는 물품은 중국산 탄소강 및 그 밖의 합금강 열간압연 후판(厚板)(「관세법 시행령」 제98조제1항에 따른 관세ㆍ통계통합품목분류표의 품목번호 제7208.51.1000호, 제7208.51.9000호, 제7208.52.1000호, 제7208.52.9000호, 제7225.40.9010호, 제7225.40.9091호 또는 제7225.40.9099호에 해당하는 것을 말한다) 중 다음 각 호의 요건을 모두 갖춘 것으로 한다. 다만, 별표 1에 규정된 물품은 제외한다. 1. 두께가 4.75밀리미터(㎜) 이상일 것 2. 폭이 600밀리미터 이상일 것 3. 코일(coil) 모양이 아닐 것 4. 냉간압연(冷間壓延)을 하지 않은 것일 것</t>
  </si>
  <si>
    <t>M137</t>
  </si>
  <si>
    <t>태국산 파티클보드에 대한 덤핑방지관세 부과에 관한 규칙</t>
  </si>
  <si>
    <t>2025-12-05</t>
  </si>
  <si>
    <t>2025-12-05 제정</t>
  </si>
  <si>
    <t>제2조(부과대상 물품) 덤핑방지관세가 부과되는 물품은 태국산 파티클보드(particle board)( 「관세법 시행령」 제98조 제1항 에 따른 관세ㆍ통계통합품목분류표의 품목번호 제4410.11.1000호에 해당하는 것을 말한다)로 한다. 다만, 표면을 피복한 파티클보드는 제외한다. || 제3조(부과대상 물품의 공급자 및 덤핑방지관세율) 제2조 에 따른 부과대상 물품의 공급자와 그 공급자별 덤핑방지관세율은 별표 와 같다.</t>
  </si>
  <si>
    <t>다만, 표면을 피복한 파티클보드는 제외한다.</t>
  </si>
  <si>
    <t>M138</t>
  </si>
  <si>
    <t>중국산 아이티온산나트륨(차아황산소다)에 대한 덤핑방지관세 부과에 관한 규칙</t>
  </si>
  <si>
    <t>2025-12-17</t>
  </si>
  <si>
    <t>2025-12-17 제정</t>
  </si>
  <si>
    <t>제2조(부과대상 물품) 덤핑방지관세가 부과되는 물품은 「관세법 시행령」 제98조 제1항 에 따른 관세ㆍ통계통합품목분류표의 품목번호 제2831.10.1000호에 해당하는 중국산 아이티온산나트륨(차아황산소다)로 한다. || 제3조(부과대상 물품의 공급자 및 덤핑방지관세율) 제2조 에 따른 부과대상 물품의 공급자와 그 공급자별 덤핑방지관세율은 별표 와 같다.</t>
  </si>
  <si>
    <t>M139</t>
  </si>
  <si>
    <t>중국산 단일모드 광섬유에 대한 덤핑방지관세 부과에 관한 규칙</t>
  </si>
  <si>
    <t>2026-03-19</t>
  </si>
  <si>
    <t>2026-03-19 제정</t>
  </si>
  <si>
    <t>제2조(부과대상 물품) 덤핑방지관세가 부과되는 물품은 「관세법 시행령」 제98조 제1항 에 따른 관세ㆍ통계통합품목분류표의 품목번호 제9001.10.0000호에 해당하는 중국산 단일모드 광섬유로서 다음 각 호의 요건을 모두 만족하는 것으로 한다. 1. 유리 용접물을 고열로 녹여 생산한 원통형 유전체 도파관으로서 코어, 클래딩 및 아크릴 코팅층 등으로 구성된 것일 것 2. 국제전기통신연합 전기통신표준화부문(ITU-T: International Telecommunication Union - Telecommunication Standardization Sector)의 단일모드 광섬유 규격 중 다음 각 목의 어느 하나에 해당하는 제품일 것 가. G.652.A 나. G.652.B 다. G.652.C 라. G.652.D(Low Loss 제품은 제외한다) 마. G.657.A1 바. G.657.A2 3. 광섬유 다발 및 광섬유 케이블이 아닐 것 || 제3조(부과대상 물품의 공급자 및 덤핑방지관세율) 제2조 에 따른 부과대상 물품의 공급자와 그 공급자별 덤핑방지관세율은 별표 와 같다.</t>
  </si>
  <si>
    <t>G.652.C 라. G.652.D(Low Loss 제품은 제외한다) 마. G.657.A1 바. G.657.A2 3. 광섬유 다발 및 광섬유 케이블이 아닐 것</t>
  </si>
  <si>
    <t>M140</t>
  </si>
  <si>
    <t>태국산 섬유판에 대한 덤핑방지관세 부과에 관한 규칙</t>
  </si>
  <si>
    <t>2026-05-07</t>
  </si>
  <si>
    <t>2026-05-07 제정</t>
  </si>
  <si>
    <t>제2조(부과대상 물품) 덤핑방지관세가 부과되는 물품은 「관세법 시행령」 제98조 제1항 에 따른 관세ㆍ통계통합품목분류표의 품목번호 제4411.12.1000호, 제4411.12.9000호, 제4411.92.1000호, 제4411.92.9010호, 제4411.92.9090호, 제4411.93.1000호, 제4411.93.9010호, 제4411.93.9090호, 제4411.94.1000호 또는 제4411.94.9000호에 해당하는 태국산 섬유판(Fibreboard of wood or other ligneous materials)으로서 다음 각 호의 요건을 모두 만족하는 것으로 한다. 1. 목재 또는 그 밖의 목질 재료로부터 섬유질을 분리ㆍ추출한 후 접착제 등을 도포하여 판재(보드) 형태로 가공한 것 2. 두께 5mm 이하인 섬유판일 것 || 제3조(부과대상 물품의 공급자 및 덤핑방지관세율) 제2조 에 따른 부과대상 물품의 공급자와 그 공급자별 덤핑방지관세율은 별표 와 같다.</t>
  </si>
  <si>
    <t>M141</t>
  </si>
  <si>
    <t>2026-05-15</t>
  </si>
  <si>
    <t>2026-05-15 제정</t>
  </si>
  <si>
    <t>제2조(부과대상 물품) 덤핑방지관세가 부과되는 물품은 사우디아라비아산 부틸글리콜에테르( 「관세법 시행령」 제98조 제1항 에 따른 관세ㆍ통계통합품목분류표의 품목번호 제2909.43.0000호에 해당하는 것을 말한다)로 한다. || 제3조(부과대상 물품의 공급자 및 덤핑방지관세율) 제2조 에 따른 부과대상 물품의 공급자와 그 공급자별 덤핑방지관세율은 별표 와 같다.</t>
  </si>
  <si>
    <t>M142</t>
  </si>
  <si>
    <t>일본 및 중국산 4축 이상 수직다관절형 산업용 로봇에 대한 덤핑방지관세 부과에 관한 규칙</t>
  </si>
  <si>
    <t>2026-05-21</t>
  </si>
  <si>
    <t>2026-05-21 제정</t>
  </si>
  <si>
    <t>제2조(부과대상 물품) 덤핑방지관세가 부과되는 물품은 「관세법 시행령」 제98조 제1항 에 따른 관세ㆍ통계통합품목분류표의 품목번호 제8479.50.9000호, 제8515.21.1010호, 제8515.21.2010호, 제8515.21.3010호, 제8515.21.9010호, 제8515.31.1010호 또는 제8515.31.9010호에 해당하는 일본 및 중국산 산업용 로봇으로서 다음 각 호의 어느 하나에 해당하는 것을 말한다. 다만, 별표 1에 규정된 물품은 제외한다. 1. 다음 각 목의 요건을 모두 갖춘 것 가. 4축 이상 수직다관절형 구조(4개 이상의 회전모터를 장착하여 회전축이 4축 이상인 다관절 구조이며, 설치면과 1축의 회전축은 수직이고 2축과 3축의 회전축은 수평인 것을 말한다)일 것 나. 운반할 수 있는 중량이 6킬로그램 이상 600킬로그램 이하일 것 2. 제1호의 로봇에 1개 이상의 부가축(기본축 외에 부착되는 장치를 말한다)을 설치한 것 3. 제1호 또는 제2호의 로봇으로서 기계장치(로봇 본체), 제어장치, 전원케이블 및 조정기가 조립되지 않은 상태로 수입되는 것 || 제3조(부과대상 물품의 공급자 및 덤핑방지관세율) 제2조에 따른 덤핑방지관세 부과대상 물품의 공급자와 그 공급자별 덤핑방지관세율은 별표 2와 같다.</t>
  </si>
  <si>
    <t>다만, 별표 1에 규정된 물품은 제외한다. 1. 다음 각 목의 요건을 모두 갖춘 것 가. 4축 이상 수직다관절형 구조(4개 이상의 회전모터를 장착하여 회전축이 4축 이상인 다관절 구조이며, 설치면과 1축의 회전축은 수직이고 2축과 3축의 회전축은 수평인 것을 말한다)일 것 나. 운반할 수 있는 중량이 6킬로그램 이상 600킬로그램 이하일 것 2. 제1호의 로봇에 1개 이상의 부가축(기본축 외에 부착되는 장치를 말한다)을 설치한 것 3. 제1호 또는 제2호의 로봇으로서 기계장치(로봇 본체), 제어장치, 전원케이블 및 조정기가 조립되지 않은 상태로 수입되는 것</t>
  </si>
  <si>
    <t>■ 일본 및 중국산 4축 이상 수직다관절형 산업용 로봇에 대한 덤핑방지관세 부과에 관한 규칙 [별표 1] 덤핑방지관세 부과대상에서 제외되는 물품(제2조 관련) 1. 다음 각 목의 요건을 모두 갖춘 소형고속로봇 가. 운반할 수 있는 중량이 20킬로그램 이하일 것 나. 1축, 2축 및 3축이 아닌 축의 최고 회전속도의 평균이 초당 500도를 초과할 것 다. 2축과 3축이 모두 양쪽 끝부분에서 지지되는 구조일 것 2. 방폭 기능에 대하여 「산업안전보건법」 제84조 및 같은 법 시행령 제74조에 따라 안전인증을 받은 도장전용로봇 3. 사람과 같은 작업영역에서 직접 협동하여 작동하는 로봇으로서 국제표준화기 구(ISO)의 ISO 10218-1 및 ISO/TS 15066에서 정하는 기준에 따라 제조되었음 을 인증받은 협동로봇 4. 사람의 상반신과 양팔을 본뜬 형태로 7축 이상의 로봇 팔 2개가 하나의 본체 (상반신에 해당하는 부분을 말한다)에 부착되어 전체 회전축이 14축 이상인 양 팔로봇 5. 화물의 적재작업 등에 주로 사용되는 4축 산업용 로봇</t>
  </si>
  <si>
    <t>M143</t>
  </si>
  <si>
    <t>일본 및 중국산 탄소강 및 그 밖의 합금강 열간압연 제품에 대한 덤핑방지관세 부과에 관한 규칙</t>
  </si>
  <si>
    <t>2026-06-23</t>
  </si>
  <si>
    <t>2026-06-23 제정</t>
  </si>
  <si>
    <t>제2조(부과대상 물품) 덤핑방지관세가 부과되는 물품은 일본 및 중국산 탄소강 및 그 밖의 합금강 열간압연( 「관세법 시행령」 제98조 제1항 에 따른 관세ㆍ통계통합품목분류표의 품목번호 제7208.10.1000호, 제7208.10.9000호, 제7208.25.1000호, 제7208.25.9000호, 제7208.26.1000호, 제7208.26.9000호, 제7208.27.1000호, 제7208.27.9000호, 제7208.36.1000호, 제7208.36.9000호, 제7208.37.1000호, 제7208.37.9000호, 제7208.38.1000호, 제7208.38.9000호, 제7208.39.1000호, 제7208.39.9000호, 제7208.40.0000호, 제7208.53.1000호, 제7208.53.9000호, 제7208.54.1000호, 제7208.54.9000호, 제7208.90.0000호, 제7211.13.0000호, 제7211.14.1000호, 제7211.14.9000호, 제7211.19.1000호, 제7211.19.9000호, 제7225.30.1000호, 제7225.30.9010호, 제7225.30.9091호, 제7225.30.9092호, 제7225.30.9099호, 제7225.40.1000호, 제7225.40.9092호, 제7226.20.0000호, 제7226.91.1000호, 제7226.91.2000호 또는 제7226.91.9000호에 해당하는 것을 말한다) 중 다음 각 호의 요건을 모두 갖춘 것으로 한다. 다만, 별표 1에 규정된 물품은 제외한다. 1. 철, 탄소강 또는 그 밖의 합금강 등에 열을 가한 후 압연한 것일 것 2. 코일(coil), 시트(sheet) 또는 판(plate) 등의 형태를 지닐 것 || 제3조(부과대상 물품의 공급자) ① 덤핑방지관세가 부과되는 공급자는 제2조에 따른 덤핑방지관세 부과대상 물품의 공급자로 한다. ② 제1항에도 불구하고 재정경제부장관이 「관세법」 제54조 제1항 에 따른 가격수정에 관한 약속을 수락한 별표 2에 규정된 공급자는 제1항에 따른 덤핑방지관세 부과대상 물품의 공급자에서 제외한다. 다만, 해당 가격수정에 관한 약속을 이행하지 않은 경우에는 덤핑방지관세를 부과한다.</t>
  </si>
  <si>
    <t>다만, 별표 1에 규정된 물품은 제외한다. 1. 철, 탄소강 또는 그 밖의 합금강 등에 열을 가한 후 압연한 것일 것 2. 코일(coil), 시트(sheet) 또는 판(plate) 등의 형태를 지닐 것 / ② 제1항에도 불구하고 재정경제부장관이 「관세법」 제54조 제1항 에 따른 가격수정에 관한 약속을 수락한 별표 2에 규정된 공급자는 제1항에 따른 덤핑방지관세 부과대상 물품의 공급자에서 제외한다. 다만, 해당 가격수정에 관한 약속을 이행하지 않은 경우에는 덤핑방지관세를 부과한다.</t>
  </si>
  <si>
    <t>■ 일본 및 중국산 탄소강 및 그 밖의 합금강 열간압연 제품에 대한 덤핑방지 관세 부과에 관한 규칙 [별표 1] 덤핑방지관세 부과대상에서 제외되는 물품(제2조 각 호 외의 부분 단서 관련) 1. 철이나 비합금강 및 그 밖의 합금강의 평판압연제품으로서 다음 각 목의 요 건을 모두 갖춘 열간압연 후판 제품 가. 두께가 4.75밀리미터(㎜) 이상일 것 나. 폭이 600밀리미터 이상일 것 다. 코일 모양이 아닐 것 라. 냉간압연을 하지 않을 것 2. 열간압연 제품에 클래드(clad: 두 가지 이상의 금속을 높은 온도와 압력으로 접합한 것), 도금(plated) 또는 도포(coated)한 제품 3. 다음 각 목의 요건을 모두 갖춘 합금강 제품 가. 탄소 함유량이 전체 중량의 1.2퍼센트 이하일 것 나. 크로뮴 함유량이 전체 중량의 10.5퍼센트 이상일 것 4. 금속ㆍ 목재ㆍ 플라스틱 가공용으로 금형 및 절삭공구 등에 사용되는 것으로 서 다음 각 목의 어느 하나에 해당하는 것 가. 일본 다이도특수강(Daido Steel Co., Ltd.) 제품으로서 브리넬 경도(HB W) 255 이하 또는 로크웰 경도(HRC) 43 이하인 NAK80, NAK55, DC11, DC53, DH2F, DCMX, DH31-EX, DHA-WORLD, DH31-S, PXA30, PAC 5000, NAK86K, DHA1, PD613, DH32, DHA-GIGA, RDH494 강종 나. 일본 프로테리얼(Proterial, Ltd.) 제품으로서 브리넬 경도(HBW) 277 이 하 또는 로크웰 경도(HRC) 41 이하인 HPM1, HPM31, SLD, SLD-f, SLD 10, SLD-MAGIC, HAP10, HAP40, HAP5R, YXM1, YXM4, YXR7, YXR 3, YXR33 강종 다. 중국 저장 징루이 툴링(Zhejiang Jingrui Tooling Co., Ltd.) 제품으로서 일본산업표준(Japanese Industrial Standard) 규격 SKH-51, SKH-55에 해 당하는 제품 || ■ 일본 및 중국산 탄소강 및 그 밖의 합금강 열간압연 제품에 대한 덤핑방지관세 부과에 관한 규칙 [별표 2] 부과대상 공급자에서 제외되는 공급자(제3조제2항 본문 관련) 공급국 공급자 일본 1. 제이에프이 스틸(JFE Steel corporation)과 그 기업의 제품을 수출하는 다음 각 목의 관계사 가. 제이에프이 상사(JFE Shoji Corporation) 나. 영스틸(Young Steel Co., Ltd.) 다. 메탈원(Metal One Corporation) 라. 토요타 통상(Toyota Tsusho Corporation) 마. 이토추마루베니 철강(Marubeni-Itochu Steel Inc.) 바. 동국(Dongkuk Corporation) 2. 일본제철(Nippon Steel Corporation)과 그 기업의 제품을 수출하는 다음 각 목의 관계사 가. 닛테츠 물산(Nippon Steel Trading Corporation) 나. 스미토모 상사 글로벌(Sumitomo Corporation Global Metals Co., Ltd.) 다. 동국(Dongkuk Corporation) 라. 세아 재팬(SeAH Japan Co., Ltd.) 마. 이토추마루베니 철강 바. 메탈원(Metal One Corporation) 3. 도쿄스틸(Tokyo Steel Manufacturing Co., Ltd.)과 그 기업의 제품을 수출하는 다음 각 목의 관계사 가. 닛세이 무역(Nissei Trading Co., Ltd.) 나. 제이에프이 상사 다. 오카야강기(Okaya &amp; Co., Ltd.) 라. 포스코 인터내셔널 재팬(POSCO International Japan Corp.) 마. 영스틸 중국 4. 벤강 스틸(Bengang Steel Plates Co.,Ltd.) 또는 안강 스틸(Angang Steel Company Limited)과 그 기업의 제품을 수출하는 다음 각 목의 관 계사 가. 안강 홍콩(Angang Group Hong Kong Co., Limited) 나. 베스콤(Bescom Pte. Ltd.) 다. 대련 우호 홍콩(Dalian Woo-Ho Hongkong International Trading Limited) 라. 이피 스틸(Ep Steel Trading Co., Ltd.) 5. 다음 각 목의 회사 가. 바오 스틸(Baoshan Iron &amp; Steel Co., Ltd.) 나. 우한 스틸(Wuhan Iron &amp; Steel Co., Ltd.) 다. 메이산 스틸(Shanghai Meishan Iron &amp; Steel Co., Ltd.) 라. 바오스틸 짠쟝(Baosteel Zhanjiang Iron &amp; Steel Co., Ltd.) 마. 산동 르자오(Shandong Iron &amp; Steel Group Rizhao Co., Ltd.) 바. 마안산 철강(Maanshan Iron &amp; Steel Ltd.) 사. 가목부터 바목까지의 기업의 제품을 수출하는 호와 무역(Howa Trading Co., Ltd.) 6. 허베이 옌산(Hebei Yanshan Iron And Steel Group Co., Ltd.)과 그 기 업의 제품을 수출하는 와이더 밴티지(Wider Vantage International Limited) 7. 서우강 징탕(Shougang Jingtang United Iron &amp; Steel Co., Ltd.) 또는 서우강 첸안(Shougang Qian'an Iron &amp; Steel Company)과 그 기업의 제품을 수출하는 서우강 홀딩[Shougang Holding Trade (Hong Kong) Limited] 8. 장수 사강(Jiangsu Shagang Steel Co., Ltd.)과 그 기업의 제품을 수출 하는 다음 각 목의 관계사 가. 장수 사강 국제(Jiangsu Shagang International Trade Co., Ltd.) 나. 사강 싱가포르[Shagang International (Singapore) Pte. Ltd.] 다. 콴탁 국제[Kwan Tak International (Singapore) Pte. Ltd.] 9. 르자오 스틸홀딩(Rizhao Steel Holding Group Co., Ltd.)과 그 기업의 제품 을 수출하는 바오후아 스틸(Baohua Steel International Pte. Limited)</t>
  </si>
  <si>
    <t>M144</t>
  </si>
  <si>
    <t>독일ㆍ프랑스ㆍ노르웨이 및 스웨덴산 폴리염화비닐 페이스트 수지에 대한 덤핑방지관세 부과에 관한 규칙</t>
  </si>
  <si>
    <t>2026-08-05</t>
  </si>
  <si>
    <t>2026-08-05 제정</t>
  </si>
  <si>
    <t>제2조(부과대상 물품) 덤핑방지관세가 부과되는 물품은 독일ㆍ프랑스ㆍ노르웨이 및 스웨덴산 폴리염화비닐 페이스트 수지( 「관세법 시행령」 제98조 제1항 에 따른 관세ㆍ통계통합품목분류표의 품목번호 제3904.10.0000호에 해당하는 것을 말한다)로 한다. 다만, 다음 각 호의 요건을 모두 갖춘 서스펜션 폴리염화비닐은 제외한다. 1. 현탁중합[Suspension Polymerization: 물속에서 분산 안정제를 사용하여 단량체(單量體)를 작은 방울로 분산시켜 중합하는 방식을 말한다]으로 제조된 것 2. 건축용 경질(輕質) 파이프 등에 주로 사용되고 점도 값이 없을 것 3. 평균 입자크기가 100마이크로미터(㎛) 이상 180마이크로미터 이하일 것 || 제3조(부과대상 물품의 공급자 및 덤핑방지관세율) 제2조에 따른 부과대상 물품의 공급자와 그 공급자별 덤핑방지관세율은 별표와 같다.</t>
  </si>
  <si>
    <t>다만, 다음 각 호의 요건을 모두 갖춘 서스펜션 폴리염화비닐은 제외한다. 1. 현탁중합[Suspension Polymerization: 물속에서 분산 안정제를 사용하여 단량체(單量體)를 작은 방울로 분산시켜 중합하는 방식을 말한다]으로 제조된 것 2. 건축용 경질(輕質) 파이프 등에 주로 사용되고 점도 값이 없을 것 3. 평균 입자크기가 100마이크로미터(㎛) 이상 180마이크로미터 이하일 것</t>
  </si>
  <si>
    <t>M145</t>
  </si>
  <si>
    <t>태국산 이음매 없는 동관에 대한 덤핑방지관세 부과에 관한 규칙</t>
  </si>
  <si>
    <t>2026-09-11</t>
  </si>
  <si>
    <t>2026-09-11 제정</t>
  </si>
  <si>
    <t>제2조(부과대상 물품) 덤핑방지관세가 부과되는 물품은 태국산 이음매 없는 동관( 「관세법 시행령」 제98조 제1항 에 따른 관세ㆍ통계통합품목분류표의 품목번호 제7411.10.0000호에 해당하는 것을 말한다) 중 다음 각 호의 요건을 모두 갖춘 것으로 한다. 다만, 플라스틱으로 코팅되어 있거나 엠보 또는 발포고무 등의 부착물이 결합된 동관은 제외한다. 1. 바깥지름이 66.68밀리미터(mm) 이하인 것 2. 두께가 0.20밀리미터 이상 2.00밀리미터 이하인 것[관 내부가 홈 가공된 제품은 밑면(bottom wall) 두께를 기준으로 한다] || 제3조(부과대상 물품의 공급자 및 덤핑방지관세율) 제2조에 따른 부과대상 물품의 공급자와 그 공급자별 덤핑방지관세율은 별표와 같다.</t>
  </si>
  <si>
    <t>다만, 플라스틱으로 코팅되어 있거나 엠보 또는 발포고무 등의 부착물이 결합된 동관은 제외한다. 1. 바깥지름이 66.68밀리미터(mm) 이하인 것 2. 두께가 0.20밀리미터 이상 2.00밀리미터 이하인 것[관 내부가 홈 가공된 제품은 밑면(bottom wall) 두께를 기준으로 한다]</t>
  </si>
  <si>
    <t># 조사범위 문언 코딩 코드북 (초벌, 2026-09-27)</t>
  </si>
  <si>
    <t>코딩 단위는 조치(measure) 하나다. 조치의 마지막 유효판 문언을 코딩하고, 첫 판과 문언이 다르면 그 차이를 비고에 적는다.</t>
  </si>
  <si>
    <t>## 1. 무엇을 코딩하나</t>
  </si>
  <si>
    <t>두 부분을 따로 코딩한다.</t>
  </si>
  <si>
    <t>- 부과대상 조건(scope_positive): 물품명과 기본 HSK 열거 말고, 부과대상을 좁히는 조건. 예: "두께가 6밀리미터 이상인 것", "코팅되지 않은 물품".</t>
  </si>
  <si>
    <t xml:space="preserve">  - 모든 부령이 HSK를 열거하므로 기본 열거만으로는 "분류"로 코딩하지 않는다.</t>
  </si>
  <si>
    <t xml:space="preserve">  - HSK로 범위를 다시 좁히거나 나눌 때만 "분류"로 코딩한다.</t>
  </si>
  <si>
    <t>- 제외 요건(exclusion): "제외한다"로 부과대상에서 빼는 물품. 본문 단서와 제외 물품 별표를 모두 본다.</t>
  </si>
  <si>
    <t>## 2. 유형</t>
  </si>
  <si>
    <t>| 유형 | 정의 | 예 |</t>
  </si>
  <si>
    <t>|---|---|---|</t>
  </si>
  <si>
    <t>| 규격 | 측정 가능한 수치 조건. 치수, 중량, 함량, 순도, 점도, 물성 수치 | 두께 6mm 이상, 탄소 함유량 0.5% 이하, RTI 105도 이상 |</t>
  </si>
  <si>
    <t>| 가공상태 | 수치가 아닌 물리적 형상·가공·표면·구조·색 | 측면 요철 가공, 금속 증착, 코팅 여부, 중공(구멍) 여부, 유채색, 수용액 상태 |</t>
  </si>
  <si>
    <t>| 용도 | 사용 목적이나 최종 용도 | 모터 절연용, 염전용, ○○에 사용되는 것 |</t>
  </si>
  <si>
    <t>| 분류 | HSK·HS 번호로 조건을 걸거나 제외 | 제4412호에 분류되는 것은 제외 |</t>
  </si>
  <si>
    <t>| 제품지정 | 특정 모델명, 상표, 생산자·공급자의 제품을 이름으로 지정 | "구라레이의 PVA-117H", 공급자별 모델 목록 |</t>
  </si>
  <si>
    <t>"제품지정"은 계획서의 다섯 유형에 없던 것이며 초벌 코딩에서 잠정으로 더했다.</t>
  </si>
  <si>
    <t>한 조건이 여러 유형에 걸치면 모두 적는다. 예를 들어 "모터 절연용으로 두께 125㎛ 이상인 흰색 필름"은 용도, 규격, 가공상태다.</t>
  </si>
  <si>
    <t>요약 유형(*_summary)은 다음 규칙으로 정한다.</t>
  </si>
  <si>
    <t>- 해당 유형이 없으면 "없음"</t>
  </si>
  <si>
    <t>- 하나면 그 유형</t>
  </si>
  <si>
    <t>- 둘 이상이면 "복합"</t>
  </si>
  <si>
    <t>## 3. 산출 열</t>
  </si>
  <si>
    <t>| 열 | 값 |</t>
  </si>
  <si>
    <t>|---|---|</t>
  </si>
  <si>
    <t>| measure_id | 입력 그대로 |</t>
  </si>
  <si>
    <t>| scope_positive_types | 부과대상 조건의 유형들. 세미콜론으로 구분. 없으면 빈칸 |</t>
  </si>
  <si>
    <t>| scope_positive_summary | 없음/규격/가공상태/용도/분류/제품지정/복합 |</t>
  </si>
  <si>
    <t>| exclusion_present | Y/N |</t>
  </si>
  <si>
    <t>| exclusion_location | 본문/별표/둘다/없음 |</t>
  </si>
  <si>
    <t>| exclusion_types | 제외 요건의 유형들. 세미콜론으로 구분 |</t>
  </si>
  <si>
    <t>| exclusion_summary | 없음/규격/가공상태/용도/분류/제품지정/복합 |</t>
  </si>
  <si>
    <t>| n_exclusion_items | 제외 항목 수(번호 붙은 항목이나 별개 물품 단위, 모델 목록은 공급자 단위로 1개씩). 없으면 0 |</t>
  </si>
  <si>
    <t>| use_based | 부과대상 조건이나 제외 요건 어디든 용도 조건이 있으면 Y |</t>
  </si>
  <si>
    <t>| changed_across_versions | 첫 판과 문언이 다르면 Y, 같으면 N |</t>
  </si>
  <si>
    <t>| evidence_positive | 부과대상 조건의 근거 문구(짧게 인용) |</t>
  </si>
  <si>
    <t>| evidence_exclusion | 제외 요건의 근거 문구(짧게 인용) |</t>
  </si>
  <si>
    <t>| confidence | 높음/중간/낮음 |</t>
  </si>
  <si>
    <t>| note | 판단이 애매한 이유, 판 사이 변화, 기타 |</t>
  </si>
  <si>
    <t>## 4. 초벌 코딩에서 정한 판단 규칙</t>
  </si>
  <si>
    <t>초벌 코딩 중에 코더들이 같은 방향으로 판단한 것을 규칙으로 옮겼다. 두 번째 코더도 이 규칙을 따른다.</t>
  </si>
  <si>
    <t>- 공급자를 빼는 별표(예: 제3조제2항에 따른 부과대상 제외 공급자)는 물품의 범위가 아니므로 제외 요건으로 코딩하지 않는다.</t>
  </si>
  <si>
    <t>- 가격약속 대상 공급자 별표도 제외 요건이 아니다.</t>
  </si>
  <si>
    <t>- 본문이 "별표에 규정된 물품은 제외한다"처럼 별표를 가리키기만 하면 위치는 "별표"다. 본문 단서에 별개 조건이 따로 적혀 있으면 "둘다"다.</t>
  </si>
  <si>
    <t>- 표준 규격 등급(JIS, ASTM, ASME, EN, NORSOK 등)은 규격이다. 특정 회사가 붙인 기호·등급·모델명(NAS 기호, 회사 고유 강종, 상품 모델명)은 제품지정이다.</t>
  </si>
  <si>
    <t>- 형상(원형, 각형, 사각 형태), 재질 종류(침엽수, 니켈합금강 같은 재질 부류), 가공·표면 상태는 가공상태다.</t>
  </si>
  <si>
    <t>- 목록이 "…등"으로 끝나 열려 있으면 이름이 적힌 항목만 센다. 비고에 열린 목록임을 적는다.</t>
  </si>
  <si>
    <t>- 판 사이에 HSK 번호만 바뀌었으면 changed_across_versions는 Y로 두고 비고에 "HSK만 변경"이라 적는다.</t>
  </si>
  <si>
    <t>- changed_across_versions는 부과대상 조건이나 제외 요건의 내용이 바뀐 경우에만 Y다. 공백, 소관 부처명, 개정 표시(&lt;개정 …&gt;), 공급자 별표만 바뀐 경우는 N이다. HSK 번호만 바뀐 경우는 앞 규칙대로 Y로 두고 비고에 적는다.</t>
  </si>
  <si>
    <t>- 제외 항목 수(n_exclusion_items)는 별표의 번호 붙은 항목 단위로 센다. 한 항목 안의 가·나목이 서로 다른 물품이면 따로 센다. 공급자별 모델 목록은 공급자 하나를 한 항목으로 센다. 본문 단서의 별개 조건은 별표 항목에 더한다.</t>
  </si>
  <si>
    <t>## 5. 미결 물음에 대해 정한 것 (2026-09-27)</t>
  </si>
  <si>
    <t>일관성 점검에서 코드북이 답하지 못했던 물음 여섯을 다음과 같이 정했다. 원칙은 하나다. 이 코딩은 연구 질문 1(어떤 형식의 문언이 분쟁을 부르는가)에 답하려는 것이므로, 세관이 실제로 물품을 가를 때 쓰는 기준을 코딩한다.</t>
  </si>
  <si>
    <t>1. 정의된 범주 아래 예시로 붙은 모델 목록("…등으로 정의에 해당하는 것")은 범주 하나로 센다. 목록이 "등"으로 열려 있으면 모델명은 예시일 뿐이므로 제품지정으로 코딩하지 않는다. 목록이 닫혀 있을 때만 제품지정이다.</t>
  </si>
  <si>
    <t>2. 세율표나 부과대상 별표 안에 괄호로 적힌 "제외"는 제외 요건이며 위치는 별표다.</t>
  </si>
  <si>
    <t>3. 이름을 누가 붙였는가로 규격과 제품지정을 가른다. 표준기구(JIS, ASTM, ASME, EN, ISO, IEC 등)가 붙인 등급·기호는 규격이고, 특정 기업(생산자든 구매자든)이 붙인 기호·부품번호·모델명은 제품지정이다. 표준 등급에 회사 접미사가 붙어 그 접미사가 물품을 가르면 제품지정이다.</t>
  </si>
  <si>
    <t>4. changed_across_versions는 범위의 내용이 바뀐 경우에만 Y다. 제외 항목 안에서 회사명이나 강종명의 표기만 바뀐 경우는 N이다. HSK 번호만 바뀐 경우는 연구 질문 4 때문에 Y로 두고 비고에 적는다(4절 규칙 유지).</t>
  </si>
  <si>
    <t>5. 같은 물품의 치수 구간만 다른 가·나목은 한 항목으로 센다. 형상이나 물품이 다른 가·나목(육각강과 원형강 등)은 따로 센다.</t>
  </si>
  <si>
    <t>6. 3번의 기준을 표준 명칭에도 쓴다. IEC 전지 기호와 유리섬유 사 번수(G75 등)는 규격이고, 생산자 고유 모델 기호(DL123 등)는 제품지정이다. 이름만 있는 재질 부류(E-glass, 니켈합금강 등)는 가공상태이고, 함량 수치로 정의된 재질 조건은 규격이다.</t>
  </si>
  <si>
    <t>초벌 코딩(`coder-a.csv`)에서 이 결정으로 바뀐 칸은 셋이다. M042와 M054의 exclusion_types에서 제품지정을 뺐고(요약은 복합 그대로), M062의 changed_across_versions를 N으로 바꿨다. 변경 내역은 `draft-v2/changes.csv` 끝에 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</si>
</sst>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2"/>
      <name val="Malgun Gothic"/>
    </font>
    <font>
      <sz val="10"/>
      <name val="Malgun Gothic"/>
    </font>
    <font>
      <b/>
      <sz val="10"/>
      <name val="Malgun Gothic"/>
    </font>
    <font>
      <b/>
      <sz val="9"/>
      <name val="Malgun Gothic"/>
    </font>
    <font>
      <sz val="9"/>
      <name val="Malgun Gothic"/>
    </font>
    <font>
      <b/>
      <sz val="9"/>
      <color rgb="FFFFFFFF"/>
      <name val="Malgun Gothic"/>
    </font>
  </fonts>
  <fills count="6">
    <fill>
      <patternFill patternType="none"/>
    </fill>
    <fill>
      <patternFill patternType="gray125"/>
    </fill>
    <fill>
      <patternFill patternType="solid">
        <fgColor rgb="FFFFFF99"/>
      </patternFill>
    </fill>
    <fill>
      <patternFill patternType="solid">
        <fgColor rgb="FF404040"/>
      </patternFill>
    </fill>
    <fill>
      <patternFill patternType="solid">
        <fgColor rgb="FFF2F2F2"/>
      </patternFill>
    </fill>
    <fill>
      <patternFill patternType="solid">
        <fgColor rgb="FFDDEBF7"/>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0">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0" borderId="0" xfId="0" applyFont="1"/>
    <xf numFmtId="0" fontId="5" fillId="2" borderId="0" xfId="0" applyFont="1" applyFill="1"/>
    <xf numFmtId="0" fontId="6" fillId="3" borderId="1" xfId="0" applyFont="1" applyFill="1" applyBorder="1" applyAlignment="1">
      <alignment horizontal="center" vertical="center" wrapText="1"/>
    </xf>
    <xf numFmtId="0" fontId="5" fillId="4" borderId="1" xfId="0" applyFont="1" applyFill="1" applyBorder="1" applyAlignment="1">
      <alignment vertical="top" wrapText="1"/>
    </xf>
    <xf numFmtId="0" fontId="5" fillId="2" borderId="1" xfId="0" applyFont="1" applyFill="1" applyBorder="1" applyAlignment="1">
      <alignment vertical="top" wrapText="1"/>
    </xf>
    <xf numFmtId="0" fontId="5" fillId="5" borderId="1" xfId="0" applyFont="1" applyFill="1" applyBorder="1" applyAlignment="1">
      <alignment vertical="top" wrapText="1"/>
    </xf>
  </cellXfs>
  <cellStyles count="1">
    <cellStyle name="표준" xfId="0" builtinId="0"/>
  </cellStyles>
  <dxfs count="1">
    <dxf>
      <fill>
        <patternFill patternType="solid">
          <fgColor rgb="FFF4B6B6"/>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4"/>
  <sheetViews>
    <sheetView tabSelected="1" workbookViewId="0"/>
  </sheetViews>
  <sheetFormatPr defaultRowHeight="14.5"/>
  <cols>
    <col min="1" max="1" width="120" customWidth="1"/>
    <col min="2" max="12" width="16" customWidth="1"/>
  </cols>
  <sheetData>
    <row r="1" spans="1:1" ht="17.5">
      <c r="A1" s="1" t="s">
        <v>0</v>
      </c>
    </row>
    <row r="2" spans="1:1" ht="16">
      <c r="A2" s="2"/>
    </row>
    <row r="3" spans="1:1" ht="16">
      <c r="A3" s="2" t="s">
        <v>1</v>
      </c>
    </row>
    <row r="4" spans="1:1" ht="32">
      <c r="A4" s="2" t="s">
        <v>2</v>
      </c>
    </row>
    <row r="5" spans="1:1" ht="16">
      <c r="A5" s="2" t="s">
        <v>3</v>
      </c>
    </row>
    <row r="6" spans="1:1" ht="16">
      <c r="A6" s="2"/>
    </row>
    <row r="7" spans="1:1" ht="16">
      <c r="A7" s="3" t="s">
        <v>4</v>
      </c>
    </row>
    <row r="8" spans="1:1" ht="32">
      <c r="A8" s="2" t="s">
        <v>5</v>
      </c>
    </row>
    <row r="9" spans="1:1" ht="16">
      <c r="A9" s="2" t="s">
        <v>6</v>
      </c>
    </row>
    <row r="10" spans="1:1" ht="16">
      <c r="A10" s="2" t="s">
        <v>7</v>
      </c>
    </row>
    <row r="11" spans="1:1" ht="16">
      <c r="A11" s="2" t="s">
        <v>8</v>
      </c>
    </row>
    <row r="12" spans="1:1" ht="16">
      <c r="A12" s="2"/>
    </row>
    <row r="13" spans="1:1" ht="16">
      <c r="A13" s="3" t="s">
        <v>9</v>
      </c>
    </row>
    <row r="14" spans="1:1" ht="32">
      <c r="A14" s="2" t="s">
        <v>10</v>
      </c>
    </row>
    <row r="15" spans="1:1" ht="16">
      <c r="A15" s="2" t="s">
        <v>11</v>
      </c>
    </row>
    <row r="16" spans="1:1" ht="16">
      <c r="A16" s="2" t="s">
        <v>12</v>
      </c>
    </row>
    <row r="17" spans="1:12" ht="16">
      <c r="A17" s="2" t="s">
        <v>13</v>
      </c>
    </row>
    <row r="18" spans="1:12" ht="16">
      <c r="A18" s="2" t="s">
        <v>14</v>
      </c>
    </row>
    <row r="19" spans="1:12" ht="16">
      <c r="A19" s="2"/>
    </row>
    <row r="20" spans="1:12" ht="16">
      <c r="A20" s="2" t="s">
        <v>15</v>
      </c>
    </row>
    <row r="21" spans="1:12" ht="16">
      <c r="A21" s="2"/>
    </row>
    <row r="22" spans="1:12" ht="16">
      <c r="A22" s="3" t="s">
        <v>16</v>
      </c>
    </row>
    <row r="23" spans="1:12" ht="15">
      <c r="B23" s="4" t="s">
        <v>17</v>
      </c>
      <c r="C23" s="4" t="s">
        <v>18</v>
      </c>
      <c r="D23" s="4" t="s">
        <v>19</v>
      </c>
      <c r="E23" s="4" t="s">
        <v>20</v>
      </c>
      <c r="F23" s="4" t="s">
        <v>21</v>
      </c>
      <c r="G23" s="4" t="s">
        <v>22</v>
      </c>
      <c r="H23" s="4" t="s">
        <v>23</v>
      </c>
      <c r="I23" s="4" t="s">
        <v>24</v>
      </c>
      <c r="J23" s="4" t="s">
        <v>25</v>
      </c>
      <c r="K23" s="4" t="s">
        <v>26</v>
      </c>
      <c r="L23" s="4" t="s">
        <v>27</v>
      </c>
    </row>
    <row r="24" spans="1:12" ht="15">
      <c r="B24" s="5" t="s">
        <v>28</v>
      </c>
      <c r="C24" s="5" t="s">
        <v>28</v>
      </c>
      <c r="D24" s="5" t="s">
        <v>28</v>
      </c>
      <c r="E24" s="5" t="s">
        <v>28</v>
      </c>
      <c r="F24" s="5" t="s">
        <v>29</v>
      </c>
      <c r="G24" s="5">
        <v>4</v>
      </c>
      <c r="H24" s="5" t="s">
        <v>30</v>
      </c>
      <c r="I24" s="5" t="s">
        <v>31</v>
      </c>
      <c r="J24" s="5" t="s">
        <v>32</v>
      </c>
      <c r="K24" s="5" t="s">
        <v>33</v>
      </c>
      <c r="L24" s="5" t="s">
        <v>34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146"/>
  <sheetViews>
    <sheetView workbookViewId="0">
      <pane xSplit="1" ySplit="1" topLeftCell="B2" activePane="bottomRight" state="frozen"/>
      <selection pane="topRight"/>
      <selection pane="bottomLeft"/>
      <selection pane="bottomRight"/>
    </sheetView>
  </sheetViews>
  <sheetFormatPr defaultRowHeight="14.5"/>
  <cols>
    <col min="1" max="1" width="9" customWidth="1"/>
    <col min="2" max="2" width="30" customWidth="1"/>
    <col min="3" max="3" width="11" customWidth="1"/>
    <col min="4" max="4" width="16" customWidth="1"/>
    <col min="5" max="5" width="60" customWidth="1"/>
    <col min="6" max="6" width="40" customWidth="1"/>
    <col min="7" max="7" width="60" customWidth="1"/>
    <col min="8" max="10" width="40" customWidth="1"/>
    <col min="11" max="20" width="7" customWidth="1"/>
    <col min="21" max="21" width="11" customWidth="1"/>
    <col min="22" max="22" width="9" customWidth="1"/>
    <col min="23" max="23" width="11" customWidth="1"/>
    <col min="24" max="25" width="30" customWidth="1"/>
    <col min="26" max="26" width="9" customWidth="1"/>
    <col min="27" max="27" width="30" customWidth="1"/>
    <col min="28" max="28" width="18" customWidth="1"/>
    <col min="29" max="29" width="11" customWidth="1"/>
    <col min="30" max="30" width="18" customWidth="1"/>
    <col min="31" max="31" width="11" customWidth="1"/>
    <col min="32" max="33" width="9" customWidth="1"/>
  </cols>
  <sheetData>
    <row r="1" spans="1:33" ht="42" customHeight="1">
      <c r="A1" s="6" t="s">
        <v>35</v>
      </c>
      <c r="B1" s="6" t="s">
        <v>36</v>
      </c>
      <c r="C1" s="6" t="s">
        <v>37</v>
      </c>
      <c r="D1" s="6" t="s">
        <v>38</v>
      </c>
      <c r="E1" s="6" t="s">
        <v>39</v>
      </c>
      <c r="F1" s="6" t="s">
        <v>40</v>
      </c>
      <c r="G1" s="6" t="s">
        <v>41</v>
      </c>
      <c r="H1" s="6" t="s">
        <v>42</v>
      </c>
      <c r="I1" s="6" t="s">
        <v>43</v>
      </c>
      <c r="J1" s="6" t="s">
        <v>44</v>
      </c>
      <c r="K1" s="6" t="s">
        <v>17</v>
      </c>
      <c r="L1" s="6" t="s">
        <v>18</v>
      </c>
      <c r="M1" s="6" t="s">
        <v>45</v>
      </c>
      <c r="N1" s="6" t="s">
        <v>46</v>
      </c>
      <c r="O1" s="6" t="s">
        <v>47</v>
      </c>
      <c r="P1" s="6" t="s">
        <v>48</v>
      </c>
      <c r="Q1" s="6" t="s">
        <v>19</v>
      </c>
      <c r="R1" s="6" t="s">
        <v>20</v>
      </c>
      <c r="S1" s="6" t="s">
        <v>49</v>
      </c>
      <c r="T1" s="6" t="s">
        <v>50</v>
      </c>
      <c r="U1" s="6" t="s">
        <v>21</v>
      </c>
      <c r="V1" s="6" t="s">
        <v>22</v>
      </c>
      <c r="W1" s="6" t="s">
        <v>23</v>
      </c>
      <c r="X1" s="6" t="s">
        <v>24</v>
      </c>
      <c r="Y1" s="6" t="s">
        <v>25</v>
      </c>
      <c r="Z1" s="6" t="s">
        <v>26</v>
      </c>
      <c r="AA1" s="6" t="s">
        <v>27</v>
      </c>
      <c r="AB1" s="6" t="s">
        <v>51</v>
      </c>
      <c r="AC1" s="6" t="s">
        <v>52</v>
      </c>
      <c r="AD1" s="6" t="s">
        <v>53</v>
      </c>
      <c r="AE1" s="6" t="s">
        <v>54</v>
      </c>
      <c r="AF1" s="6" t="s">
        <v>55</v>
      </c>
      <c r="AG1" s="6" t="s">
        <v>56</v>
      </c>
    </row>
    <row r="2" spans="1:33" ht="110" customHeight="1">
      <c r="A2" s="7" t="s">
        <v>57</v>
      </c>
      <c r="B2" s="7" t="s">
        <v>58</v>
      </c>
      <c r="C2" s="7" t="s">
        <v>59</v>
      </c>
      <c r="D2" s="7" t="s">
        <v>60</v>
      </c>
      <c r="E2" s="7" t="s">
        <v>61</v>
      </c>
      <c r="F2" s="7"/>
      <c r="G2" s="7"/>
      <c r="H2" s="7"/>
      <c r="I2" s="7"/>
      <c r="J2" s="7"/>
      <c r="K2" s="8"/>
      <c r="L2" s="8"/>
      <c r="M2" s="8"/>
      <c r="N2" s="8"/>
      <c r="O2" s="8"/>
      <c r="P2" s="8"/>
      <c r="Q2" s="8"/>
      <c r="R2" s="8"/>
      <c r="S2" s="8"/>
      <c r="T2" s="8"/>
      <c r="U2" s="8"/>
      <c r="V2" s="8"/>
      <c r="W2" s="8"/>
      <c r="X2" s="8"/>
      <c r="Y2" s="8"/>
      <c r="Z2" s="8"/>
      <c r="AA2" s="8"/>
      <c r="AB2" s="9" t="str">
        <f t="shared" ref="AB2:AB33" si="0">IF(LEN(IF(K2="Y","규격;","")&amp;IF(L2="Y","가공상태;","")&amp;IF(M2="Y","용도;","")&amp;IF(N2="Y","분류;","")&amp;IF(O2="Y","제품지정;",""))=0,"",LEFT(IF(K2="Y","규격;","")&amp;IF(L2="Y","가공상태;","")&amp;IF(M2="Y","용도;","")&amp;IF(N2="Y","분류;","")&amp;IF(O2="Y","제품지정;",""),LEN(IF(K2="Y","규격;","")&amp;IF(L2="Y","가공상태;","")&amp;IF(M2="Y","용도;","")&amp;IF(N2="Y","분류;","")&amp;IF(O2="Y","제품지정;",""))-1))</f>
        <v/>
      </c>
      <c r="AC2" s="9" t="str">
        <f t="shared" ref="AC2:AC33" si="1">IF(COUNTIF(K2:O2,"Y")=0,"없음",IF(COUNTIF(K2:O2,"Y")&gt;1,"복합",IF(K2="Y","규격",IF(L2="Y","가공상태",IF(M2="Y","용도",IF(N2="Y","분류",IF(O2="Y","제품지정","")))))))</f>
        <v>없음</v>
      </c>
      <c r="AD2" s="9" t="str">
        <f t="shared" ref="AD2:AD33" si="2">IF(LEN(IF(P2="Y","규격;","")&amp;IF(Q2="Y","가공상태;","")&amp;IF(R2="Y","용도;","")&amp;IF(S2="Y","분류;","")&amp;IF(T2="Y","제품지정;",""))=0,"",LEFT(IF(P2="Y","규격;","")&amp;IF(Q2="Y","가공상태;","")&amp;IF(R2="Y","용도;","")&amp;IF(S2="Y","분류;","")&amp;IF(T2="Y","제품지정;",""),LEN(IF(P2="Y","규격;","")&amp;IF(Q2="Y","가공상태;","")&amp;IF(R2="Y","용도;","")&amp;IF(S2="Y","분류;","")&amp;IF(T2="Y","제품지정;",""))-1))</f>
        <v/>
      </c>
      <c r="AE2" s="9" t="str">
        <f t="shared" ref="AE2:AE33" si="3">IF(COUNTIF(P2:T2,"Y")=0,"없음",IF(COUNTIF(P2:T2,"Y")&gt;1,"복합",IF(P2="Y","규격",IF(Q2="Y","가공상태",IF(R2="Y","용도",IF(S2="Y","분류",IF(T2="Y","제품지정","")))))))</f>
        <v>없음</v>
      </c>
      <c r="AF2" s="9" t="str">
        <f t="shared" ref="AF2:AF33" si="4">IF(U2="","",IF(U2="없음","N","Y"))</f>
        <v/>
      </c>
      <c r="AG2" s="9" t="str">
        <f t="shared" ref="AG2:AG33" si="5">IF(OR(M2="Y",R2="Y"),"Y","N")</f>
        <v>N</v>
      </c>
    </row>
    <row r="3" spans="1:33" ht="110" customHeight="1">
      <c r="A3" s="7" t="s">
        <v>62</v>
      </c>
      <c r="B3" s="7" t="s">
        <v>63</v>
      </c>
      <c r="C3" s="7" t="s">
        <v>64</v>
      </c>
      <c r="D3" s="7" t="s">
        <v>65</v>
      </c>
      <c r="E3" s="7" t="s">
        <v>66</v>
      </c>
      <c r="F3" s="7"/>
      <c r="G3" s="7"/>
      <c r="H3" s="7"/>
      <c r="I3" s="7"/>
      <c r="J3" s="7"/>
      <c r="K3" s="8"/>
      <c r="L3" s="8"/>
      <c r="M3" s="8"/>
      <c r="N3" s="8"/>
      <c r="O3" s="8"/>
      <c r="P3" s="8"/>
      <c r="Q3" s="8"/>
      <c r="R3" s="8"/>
      <c r="S3" s="8"/>
      <c r="T3" s="8"/>
      <c r="U3" s="8"/>
      <c r="V3" s="8"/>
      <c r="W3" s="8"/>
      <c r="X3" s="8"/>
      <c r="Y3" s="8"/>
      <c r="Z3" s="8"/>
      <c r="AA3" s="8"/>
      <c r="AB3" s="9" t="str">
        <f t="shared" si="0"/>
        <v/>
      </c>
      <c r="AC3" s="9" t="str">
        <f t="shared" si="1"/>
        <v>없음</v>
      </c>
      <c r="AD3" s="9" t="str">
        <f t="shared" si="2"/>
        <v/>
      </c>
      <c r="AE3" s="9" t="str">
        <f t="shared" si="3"/>
        <v>없음</v>
      </c>
      <c r="AF3" s="9" t="str">
        <f t="shared" si="4"/>
        <v/>
      </c>
      <c r="AG3" s="9" t="str">
        <f t="shared" si="5"/>
        <v>N</v>
      </c>
    </row>
    <row r="4" spans="1:33" ht="110" customHeight="1">
      <c r="A4" s="7" t="s">
        <v>67</v>
      </c>
      <c r="B4" s="7" t="s">
        <v>68</v>
      </c>
      <c r="C4" s="7" t="s">
        <v>69</v>
      </c>
      <c r="D4" s="7" t="s">
        <v>70</v>
      </c>
      <c r="E4" s="7" t="s">
        <v>71</v>
      </c>
      <c r="F4" s="7"/>
      <c r="G4" s="7"/>
      <c r="H4" s="7"/>
      <c r="I4" s="7"/>
      <c r="J4" s="7"/>
      <c r="K4" s="8"/>
      <c r="L4" s="8"/>
      <c r="M4" s="8"/>
      <c r="N4" s="8"/>
      <c r="O4" s="8"/>
      <c r="P4" s="8"/>
      <c r="Q4" s="8"/>
      <c r="R4" s="8"/>
      <c r="S4" s="8"/>
      <c r="T4" s="8"/>
      <c r="U4" s="8"/>
      <c r="V4" s="8"/>
      <c r="W4" s="8"/>
      <c r="X4" s="8"/>
      <c r="Y4" s="8"/>
      <c r="Z4" s="8"/>
      <c r="AA4" s="8"/>
      <c r="AB4" s="9" t="str">
        <f t="shared" si="0"/>
        <v/>
      </c>
      <c r="AC4" s="9" t="str">
        <f t="shared" si="1"/>
        <v>없음</v>
      </c>
      <c r="AD4" s="9" t="str">
        <f t="shared" si="2"/>
        <v/>
      </c>
      <c r="AE4" s="9" t="str">
        <f t="shared" si="3"/>
        <v>없음</v>
      </c>
      <c r="AF4" s="9" t="str">
        <f t="shared" si="4"/>
        <v/>
      </c>
      <c r="AG4" s="9" t="str">
        <f t="shared" si="5"/>
        <v>N</v>
      </c>
    </row>
    <row r="5" spans="1:33" ht="110" customHeight="1">
      <c r="A5" s="7" t="s">
        <v>72</v>
      </c>
      <c r="B5" s="7" t="s">
        <v>73</v>
      </c>
      <c r="C5" s="7" t="s">
        <v>74</v>
      </c>
      <c r="D5" s="7" t="s">
        <v>75</v>
      </c>
      <c r="E5" s="7" t="s">
        <v>76</v>
      </c>
      <c r="F5" s="7"/>
      <c r="G5" s="7"/>
      <c r="H5" s="7"/>
      <c r="I5" s="7"/>
      <c r="J5" s="7"/>
      <c r="K5" s="8"/>
      <c r="L5" s="8"/>
      <c r="M5" s="8"/>
      <c r="N5" s="8"/>
      <c r="O5" s="8"/>
      <c r="P5" s="8"/>
      <c r="Q5" s="8"/>
      <c r="R5" s="8"/>
      <c r="S5" s="8"/>
      <c r="T5" s="8"/>
      <c r="U5" s="8"/>
      <c r="V5" s="8"/>
      <c r="W5" s="8"/>
      <c r="X5" s="8"/>
      <c r="Y5" s="8"/>
      <c r="Z5" s="8"/>
      <c r="AA5" s="8"/>
      <c r="AB5" s="9" t="str">
        <f t="shared" si="0"/>
        <v/>
      </c>
      <c r="AC5" s="9" t="str">
        <f t="shared" si="1"/>
        <v>없음</v>
      </c>
      <c r="AD5" s="9" t="str">
        <f t="shared" si="2"/>
        <v/>
      </c>
      <c r="AE5" s="9" t="str">
        <f t="shared" si="3"/>
        <v>없음</v>
      </c>
      <c r="AF5" s="9" t="str">
        <f t="shared" si="4"/>
        <v/>
      </c>
      <c r="AG5" s="9" t="str">
        <f t="shared" si="5"/>
        <v>N</v>
      </c>
    </row>
    <row r="6" spans="1:33" ht="110" customHeight="1">
      <c r="A6" s="7" t="s">
        <v>77</v>
      </c>
      <c r="B6" s="7" t="s">
        <v>78</v>
      </c>
      <c r="C6" s="7" t="s">
        <v>74</v>
      </c>
      <c r="D6" s="7" t="s">
        <v>75</v>
      </c>
      <c r="E6" s="7" t="s">
        <v>79</v>
      </c>
      <c r="F6" s="7" t="s">
        <v>80</v>
      </c>
      <c r="G6" s="7"/>
      <c r="H6" s="7"/>
      <c r="I6" s="7"/>
      <c r="J6" s="7"/>
      <c r="K6" s="8"/>
      <c r="L6" s="8"/>
      <c r="M6" s="8"/>
      <c r="N6" s="8"/>
      <c r="O6" s="8"/>
      <c r="P6" s="8"/>
      <c r="Q6" s="8"/>
      <c r="R6" s="8"/>
      <c r="S6" s="8"/>
      <c r="T6" s="8"/>
      <c r="U6" s="8"/>
      <c r="V6" s="8"/>
      <c r="W6" s="8"/>
      <c r="X6" s="8"/>
      <c r="Y6" s="8"/>
      <c r="Z6" s="8"/>
      <c r="AA6" s="8"/>
      <c r="AB6" s="9" t="str">
        <f t="shared" si="0"/>
        <v/>
      </c>
      <c r="AC6" s="9" t="str">
        <f t="shared" si="1"/>
        <v>없음</v>
      </c>
      <c r="AD6" s="9" t="str">
        <f t="shared" si="2"/>
        <v/>
      </c>
      <c r="AE6" s="9" t="str">
        <f t="shared" si="3"/>
        <v>없음</v>
      </c>
      <c r="AF6" s="9" t="str">
        <f t="shared" si="4"/>
        <v/>
      </c>
      <c r="AG6" s="9" t="str">
        <f t="shared" si="5"/>
        <v>N</v>
      </c>
    </row>
    <row r="7" spans="1:33" ht="110" customHeight="1">
      <c r="A7" s="7" t="s">
        <v>81</v>
      </c>
      <c r="B7" s="7" t="s">
        <v>82</v>
      </c>
      <c r="C7" s="7" t="s">
        <v>83</v>
      </c>
      <c r="D7" s="7" t="s">
        <v>84</v>
      </c>
      <c r="E7" s="7" t="s">
        <v>85</v>
      </c>
      <c r="F7" s="7"/>
      <c r="G7" s="7"/>
      <c r="H7" s="7" t="s">
        <v>86</v>
      </c>
      <c r="I7" s="7" t="s">
        <v>87</v>
      </c>
      <c r="J7" s="7"/>
      <c r="K7" s="8"/>
      <c r="L7" s="8"/>
      <c r="M7" s="8"/>
      <c r="N7" s="8"/>
      <c r="O7" s="8"/>
      <c r="P7" s="8"/>
      <c r="Q7" s="8"/>
      <c r="R7" s="8"/>
      <c r="S7" s="8"/>
      <c r="T7" s="8"/>
      <c r="U7" s="8"/>
      <c r="V7" s="8"/>
      <c r="W7" s="8"/>
      <c r="X7" s="8"/>
      <c r="Y7" s="8"/>
      <c r="Z7" s="8"/>
      <c r="AA7" s="8"/>
      <c r="AB7" s="9" t="str">
        <f t="shared" si="0"/>
        <v/>
      </c>
      <c r="AC7" s="9" t="str">
        <f t="shared" si="1"/>
        <v>없음</v>
      </c>
      <c r="AD7" s="9" t="str">
        <f t="shared" si="2"/>
        <v/>
      </c>
      <c r="AE7" s="9" t="str">
        <f t="shared" si="3"/>
        <v>없음</v>
      </c>
      <c r="AF7" s="9" t="str">
        <f t="shared" si="4"/>
        <v/>
      </c>
      <c r="AG7" s="9" t="str">
        <f t="shared" si="5"/>
        <v>N</v>
      </c>
    </row>
    <row r="8" spans="1:33" ht="110" customHeight="1">
      <c r="A8" s="7" t="s">
        <v>88</v>
      </c>
      <c r="B8" s="7" t="s">
        <v>89</v>
      </c>
      <c r="C8" s="7" t="s">
        <v>90</v>
      </c>
      <c r="D8" s="7" t="s">
        <v>91</v>
      </c>
      <c r="E8" s="7" t="s">
        <v>92</v>
      </c>
      <c r="F8" s="7"/>
      <c r="G8" s="7"/>
      <c r="H8" s="7" t="s">
        <v>93</v>
      </c>
      <c r="I8" s="7"/>
      <c r="J8" s="7"/>
      <c r="K8" s="8"/>
      <c r="L8" s="8"/>
      <c r="M8" s="8"/>
      <c r="N8" s="8"/>
      <c r="O8" s="8"/>
      <c r="P8" s="8"/>
      <c r="Q8" s="8"/>
      <c r="R8" s="8"/>
      <c r="S8" s="8"/>
      <c r="T8" s="8"/>
      <c r="U8" s="8"/>
      <c r="V8" s="8"/>
      <c r="W8" s="8"/>
      <c r="X8" s="8"/>
      <c r="Y8" s="8"/>
      <c r="Z8" s="8"/>
      <c r="AA8" s="8"/>
      <c r="AB8" s="9" t="str">
        <f t="shared" si="0"/>
        <v/>
      </c>
      <c r="AC8" s="9" t="str">
        <f t="shared" si="1"/>
        <v>없음</v>
      </c>
      <c r="AD8" s="9" t="str">
        <f t="shared" si="2"/>
        <v/>
      </c>
      <c r="AE8" s="9" t="str">
        <f t="shared" si="3"/>
        <v>없음</v>
      </c>
      <c r="AF8" s="9" t="str">
        <f t="shared" si="4"/>
        <v/>
      </c>
      <c r="AG8" s="9" t="str">
        <f t="shared" si="5"/>
        <v>N</v>
      </c>
    </row>
    <row r="9" spans="1:33" ht="110" customHeight="1">
      <c r="A9" s="7" t="s">
        <v>94</v>
      </c>
      <c r="B9" s="7" t="s">
        <v>95</v>
      </c>
      <c r="C9" s="7" t="s">
        <v>96</v>
      </c>
      <c r="D9" s="7" t="s">
        <v>97</v>
      </c>
      <c r="E9" s="7" t="s">
        <v>98</v>
      </c>
      <c r="F9" s="7"/>
      <c r="G9" s="7"/>
      <c r="H9" s="7"/>
      <c r="I9" s="7"/>
      <c r="J9" s="7"/>
      <c r="K9" s="8"/>
      <c r="L9" s="8"/>
      <c r="M9" s="8"/>
      <c r="N9" s="8"/>
      <c r="O9" s="8"/>
      <c r="P9" s="8"/>
      <c r="Q9" s="8"/>
      <c r="R9" s="8"/>
      <c r="S9" s="8"/>
      <c r="T9" s="8"/>
      <c r="U9" s="8"/>
      <c r="V9" s="8"/>
      <c r="W9" s="8"/>
      <c r="X9" s="8"/>
      <c r="Y9" s="8"/>
      <c r="Z9" s="8"/>
      <c r="AA9" s="8"/>
      <c r="AB9" s="9" t="str">
        <f t="shared" si="0"/>
        <v/>
      </c>
      <c r="AC9" s="9" t="str">
        <f t="shared" si="1"/>
        <v>없음</v>
      </c>
      <c r="AD9" s="9" t="str">
        <f t="shared" si="2"/>
        <v/>
      </c>
      <c r="AE9" s="9" t="str">
        <f t="shared" si="3"/>
        <v>없음</v>
      </c>
      <c r="AF9" s="9" t="str">
        <f t="shared" si="4"/>
        <v/>
      </c>
      <c r="AG9" s="9" t="str">
        <f t="shared" si="5"/>
        <v>N</v>
      </c>
    </row>
    <row r="10" spans="1:33" ht="110" customHeight="1">
      <c r="A10" s="7" t="s">
        <v>99</v>
      </c>
      <c r="B10" s="7" t="s">
        <v>100</v>
      </c>
      <c r="C10" s="7" t="s">
        <v>101</v>
      </c>
      <c r="D10" s="7" t="s">
        <v>102</v>
      </c>
      <c r="E10" s="7" t="s">
        <v>103</v>
      </c>
      <c r="F10" s="7"/>
      <c r="G10" s="7"/>
      <c r="H10" s="7"/>
      <c r="I10" s="7"/>
      <c r="J10" s="7"/>
      <c r="K10" s="8"/>
      <c r="L10" s="8"/>
      <c r="M10" s="8"/>
      <c r="N10" s="8"/>
      <c r="O10" s="8"/>
      <c r="P10" s="8"/>
      <c r="Q10" s="8"/>
      <c r="R10" s="8"/>
      <c r="S10" s="8"/>
      <c r="T10" s="8"/>
      <c r="U10" s="8"/>
      <c r="V10" s="8"/>
      <c r="W10" s="8"/>
      <c r="X10" s="8"/>
      <c r="Y10" s="8"/>
      <c r="Z10" s="8"/>
      <c r="AA10" s="8"/>
      <c r="AB10" s="9" t="str">
        <f t="shared" si="0"/>
        <v/>
      </c>
      <c r="AC10" s="9" t="str">
        <f t="shared" si="1"/>
        <v>없음</v>
      </c>
      <c r="AD10" s="9" t="str">
        <f t="shared" si="2"/>
        <v/>
      </c>
      <c r="AE10" s="9" t="str">
        <f t="shared" si="3"/>
        <v>없음</v>
      </c>
      <c r="AF10" s="9" t="str">
        <f t="shared" si="4"/>
        <v/>
      </c>
      <c r="AG10" s="9" t="str">
        <f t="shared" si="5"/>
        <v>N</v>
      </c>
    </row>
    <row r="11" spans="1:33" ht="110" customHeight="1">
      <c r="A11" s="7" t="s">
        <v>104</v>
      </c>
      <c r="B11" s="7" t="s">
        <v>105</v>
      </c>
      <c r="C11" s="7" t="s">
        <v>101</v>
      </c>
      <c r="D11" s="7" t="s">
        <v>102</v>
      </c>
      <c r="E11" s="7" t="s">
        <v>106</v>
      </c>
      <c r="F11" s="7" t="s">
        <v>107</v>
      </c>
      <c r="G11" s="7"/>
      <c r="H11" s="7"/>
      <c r="I11" s="7"/>
      <c r="J11" s="7"/>
      <c r="K11" s="8"/>
      <c r="L11" s="8"/>
      <c r="M11" s="8"/>
      <c r="N11" s="8"/>
      <c r="O11" s="8"/>
      <c r="P11" s="8"/>
      <c r="Q11" s="8"/>
      <c r="R11" s="8"/>
      <c r="S11" s="8"/>
      <c r="T11" s="8"/>
      <c r="U11" s="8"/>
      <c r="V11" s="8"/>
      <c r="W11" s="8"/>
      <c r="X11" s="8"/>
      <c r="Y11" s="8"/>
      <c r="Z11" s="8"/>
      <c r="AA11" s="8"/>
      <c r="AB11" s="9" t="str">
        <f t="shared" si="0"/>
        <v/>
      </c>
      <c r="AC11" s="9" t="str">
        <f t="shared" si="1"/>
        <v>없음</v>
      </c>
      <c r="AD11" s="9" t="str">
        <f t="shared" si="2"/>
        <v/>
      </c>
      <c r="AE11" s="9" t="str">
        <f t="shared" si="3"/>
        <v>없음</v>
      </c>
      <c r="AF11" s="9" t="str">
        <f t="shared" si="4"/>
        <v/>
      </c>
      <c r="AG11" s="9" t="str">
        <f t="shared" si="5"/>
        <v>N</v>
      </c>
    </row>
    <row r="12" spans="1:33" ht="110" customHeight="1">
      <c r="A12" s="7" t="s">
        <v>108</v>
      </c>
      <c r="B12" s="7" t="s">
        <v>109</v>
      </c>
      <c r="C12" s="7" t="s">
        <v>110</v>
      </c>
      <c r="D12" s="7" t="s">
        <v>111</v>
      </c>
      <c r="E12" s="7" t="s">
        <v>112</v>
      </c>
      <c r="F12" s="7"/>
      <c r="G12" s="7"/>
      <c r="H12" s="7" t="s">
        <v>113</v>
      </c>
      <c r="I12" s="7"/>
      <c r="J12" s="7"/>
      <c r="K12" s="8"/>
      <c r="L12" s="8"/>
      <c r="M12" s="8"/>
      <c r="N12" s="8"/>
      <c r="O12" s="8"/>
      <c r="P12" s="8"/>
      <c r="Q12" s="8"/>
      <c r="R12" s="8"/>
      <c r="S12" s="8"/>
      <c r="T12" s="8"/>
      <c r="U12" s="8"/>
      <c r="V12" s="8"/>
      <c r="W12" s="8"/>
      <c r="X12" s="8"/>
      <c r="Y12" s="8"/>
      <c r="Z12" s="8"/>
      <c r="AA12" s="8"/>
      <c r="AB12" s="9" t="str">
        <f t="shared" si="0"/>
        <v/>
      </c>
      <c r="AC12" s="9" t="str">
        <f t="shared" si="1"/>
        <v>없음</v>
      </c>
      <c r="AD12" s="9" t="str">
        <f t="shared" si="2"/>
        <v/>
      </c>
      <c r="AE12" s="9" t="str">
        <f t="shared" si="3"/>
        <v>없음</v>
      </c>
      <c r="AF12" s="9" t="str">
        <f t="shared" si="4"/>
        <v/>
      </c>
      <c r="AG12" s="9" t="str">
        <f t="shared" si="5"/>
        <v>N</v>
      </c>
    </row>
    <row r="13" spans="1:33" ht="110" customHeight="1">
      <c r="A13" s="7" t="s">
        <v>114</v>
      </c>
      <c r="B13" s="7" t="s">
        <v>115</v>
      </c>
      <c r="C13" s="7" t="s">
        <v>116</v>
      </c>
      <c r="D13" s="7" t="s">
        <v>117</v>
      </c>
      <c r="E13" s="7" t="s">
        <v>118</v>
      </c>
      <c r="F13" s="7"/>
      <c r="G13" s="7"/>
      <c r="H13" s="7"/>
      <c r="I13" s="7"/>
      <c r="J13" s="7"/>
      <c r="K13" s="8"/>
      <c r="L13" s="8"/>
      <c r="M13" s="8"/>
      <c r="N13" s="8"/>
      <c r="O13" s="8"/>
      <c r="P13" s="8"/>
      <c r="Q13" s="8"/>
      <c r="R13" s="8"/>
      <c r="S13" s="8"/>
      <c r="T13" s="8"/>
      <c r="U13" s="8"/>
      <c r="V13" s="8"/>
      <c r="W13" s="8"/>
      <c r="X13" s="8"/>
      <c r="Y13" s="8"/>
      <c r="Z13" s="8"/>
      <c r="AA13" s="8"/>
      <c r="AB13" s="9" t="str">
        <f t="shared" si="0"/>
        <v/>
      </c>
      <c r="AC13" s="9" t="str">
        <f t="shared" si="1"/>
        <v>없음</v>
      </c>
      <c r="AD13" s="9" t="str">
        <f t="shared" si="2"/>
        <v/>
      </c>
      <c r="AE13" s="9" t="str">
        <f t="shared" si="3"/>
        <v>없음</v>
      </c>
      <c r="AF13" s="9" t="str">
        <f t="shared" si="4"/>
        <v/>
      </c>
      <c r="AG13" s="9" t="str">
        <f t="shared" si="5"/>
        <v>N</v>
      </c>
    </row>
    <row r="14" spans="1:33" ht="110" customHeight="1">
      <c r="A14" s="7" t="s">
        <v>119</v>
      </c>
      <c r="B14" s="7" t="s">
        <v>120</v>
      </c>
      <c r="C14" s="7" t="s">
        <v>116</v>
      </c>
      <c r="D14" s="7" t="s">
        <v>117</v>
      </c>
      <c r="E14" s="7" t="s">
        <v>121</v>
      </c>
      <c r="F14" s="7"/>
      <c r="G14" s="7"/>
      <c r="H14" s="7"/>
      <c r="I14" s="7"/>
      <c r="J14" s="7"/>
      <c r="K14" s="8"/>
      <c r="L14" s="8"/>
      <c r="M14" s="8"/>
      <c r="N14" s="8"/>
      <c r="O14" s="8"/>
      <c r="P14" s="8"/>
      <c r="Q14" s="8"/>
      <c r="R14" s="8"/>
      <c r="S14" s="8"/>
      <c r="T14" s="8"/>
      <c r="U14" s="8"/>
      <c r="V14" s="8"/>
      <c r="W14" s="8"/>
      <c r="X14" s="8"/>
      <c r="Y14" s="8"/>
      <c r="Z14" s="8"/>
      <c r="AA14" s="8"/>
      <c r="AB14" s="9" t="str">
        <f t="shared" si="0"/>
        <v/>
      </c>
      <c r="AC14" s="9" t="str">
        <f t="shared" si="1"/>
        <v>없음</v>
      </c>
      <c r="AD14" s="9" t="str">
        <f t="shared" si="2"/>
        <v/>
      </c>
      <c r="AE14" s="9" t="str">
        <f t="shared" si="3"/>
        <v>없음</v>
      </c>
      <c r="AF14" s="9" t="str">
        <f t="shared" si="4"/>
        <v/>
      </c>
      <c r="AG14" s="9" t="str">
        <f t="shared" si="5"/>
        <v>N</v>
      </c>
    </row>
    <row r="15" spans="1:33" ht="110" customHeight="1">
      <c r="A15" s="7" t="s">
        <v>122</v>
      </c>
      <c r="B15" s="7" t="s">
        <v>123</v>
      </c>
      <c r="C15" s="7" t="s">
        <v>116</v>
      </c>
      <c r="D15" s="7" t="s">
        <v>117</v>
      </c>
      <c r="E15" s="7" t="s">
        <v>124</v>
      </c>
      <c r="F15" s="7"/>
      <c r="G15" s="7"/>
      <c r="H15" s="7"/>
      <c r="I15" s="7"/>
      <c r="J15" s="7"/>
      <c r="K15" s="8"/>
      <c r="L15" s="8"/>
      <c r="M15" s="8"/>
      <c r="N15" s="8"/>
      <c r="O15" s="8"/>
      <c r="P15" s="8"/>
      <c r="Q15" s="8"/>
      <c r="R15" s="8"/>
      <c r="S15" s="8"/>
      <c r="T15" s="8"/>
      <c r="U15" s="8"/>
      <c r="V15" s="8"/>
      <c r="W15" s="8"/>
      <c r="X15" s="8"/>
      <c r="Y15" s="8"/>
      <c r="Z15" s="8"/>
      <c r="AA15" s="8"/>
      <c r="AB15" s="9" t="str">
        <f t="shared" si="0"/>
        <v/>
      </c>
      <c r="AC15" s="9" t="str">
        <f t="shared" si="1"/>
        <v>없음</v>
      </c>
      <c r="AD15" s="9" t="str">
        <f t="shared" si="2"/>
        <v/>
      </c>
      <c r="AE15" s="9" t="str">
        <f t="shared" si="3"/>
        <v>없음</v>
      </c>
      <c r="AF15" s="9" t="str">
        <f t="shared" si="4"/>
        <v/>
      </c>
      <c r="AG15" s="9" t="str">
        <f t="shared" si="5"/>
        <v>N</v>
      </c>
    </row>
    <row r="16" spans="1:33" ht="110" customHeight="1">
      <c r="A16" s="7" t="s">
        <v>125</v>
      </c>
      <c r="B16" s="7" t="s">
        <v>126</v>
      </c>
      <c r="C16" s="7" t="s">
        <v>127</v>
      </c>
      <c r="D16" s="7" t="s">
        <v>128</v>
      </c>
      <c r="E16" s="7" t="s">
        <v>129</v>
      </c>
      <c r="F16" s="7"/>
      <c r="G16" s="7"/>
      <c r="H16" s="7"/>
      <c r="I16" s="7"/>
      <c r="J16" s="7"/>
      <c r="K16" s="8"/>
      <c r="L16" s="8"/>
      <c r="M16" s="8"/>
      <c r="N16" s="8"/>
      <c r="O16" s="8"/>
      <c r="P16" s="8"/>
      <c r="Q16" s="8"/>
      <c r="R16" s="8"/>
      <c r="S16" s="8"/>
      <c r="T16" s="8"/>
      <c r="U16" s="8"/>
      <c r="V16" s="8"/>
      <c r="W16" s="8"/>
      <c r="X16" s="8"/>
      <c r="Y16" s="8"/>
      <c r="Z16" s="8"/>
      <c r="AA16" s="8"/>
      <c r="AB16" s="9" t="str">
        <f t="shared" si="0"/>
        <v/>
      </c>
      <c r="AC16" s="9" t="str">
        <f t="shared" si="1"/>
        <v>없음</v>
      </c>
      <c r="AD16" s="9" t="str">
        <f t="shared" si="2"/>
        <v/>
      </c>
      <c r="AE16" s="9" t="str">
        <f t="shared" si="3"/>
        <v>없음</v>
      </c>
      <c r="AF16" s="9" t="str">
        <f t="shared" si="4"/>
        <v/>
      </c>
      <c r="AG16" s="9" t="str">
        <f t="shared" si="5"/>
        <v>N</v>
      </c>
    </row>
    <row r="17" spans="1:33" ht="110" customHeight="1">
      <c r="A17" s="7" t="s">
        <v>130</v>
      </c>
      <c r="B17" s="7" t="s">
        <v>131</v>
      </c>
      <c r="C17" s="7" t="s">
        <v>132</v>
      </c>
      <c r="D17" s="7" t="s">
        <v>133</v>
      </c>
      <c r="E17" s="7" t="s">
        <v>134</v>
      </c>
      <c r="F17" s="7"/>
      <c r="G17" s="7"/>
      <c r="H17" s="7"/>
      <c r="I17" s="7"/>
      <c r="J17" s="7"/>
      <c r="K17" s="8"/>
      <c r="L17" s="8"/>
      <c r="M17" s="8"/>
      <c r="N17" s="8"/>
      <c r="O17" s="8"/>
      <c r="P17" s="8"/>
      <c r="Q17" s="8"/>
      <c r="R17" s="8"/>
      <c r="S17" s="8"/>
      <c r="T17" s="8"/>
      <c r="U17" s="8"/>
      <c r="V17" s="8"/>
      <c r="W17" s="8"/>
      <c r="X17" s="8"/>
      <c r="Y17" s="8"/>
      <c r="Z17" s="8"/>
      <c r="AA17" s="8"/>
      <c r="AB17" s="9" t="str">
        <f t="shared" si="0"/>
        <v/>
      </c>
      <c r="AC17" s="9" t="str">
        <f t="shared" si="1"/>
        <v>없음</v>
      </c>
      <c r="AD17" s="9" t="str">
        <f t="shared" si="2"/>
        <v/>
      </c>
      <c r="AE17" s="9" t="str">
        <f t="shared" si="3"/>
        <v>없음</v>
      </c>
      <c r="AF17" s="9" t="str">
        <f t="shared" si="4"/>
        <v/>
      </c>
      <c r="AG17" s="9" t="str">
        <f t="shared" si="5"/>
        <v>N</v>
      </c>
    </row>
    <row r="18" spans="1:33" ht="110" customHeight="1">
      <c r="A18" s="7" t="s">
        <v>135</v>
      </c>
      <c r="B18" s="7" t="s">
        <v>136</v>
      </c>
      <c r="C18" s="7" t="s">
        <v>137</v>
      </c>
      <c r="D18" s="7" t="s">
        <v>138</v>
      </c>
      <c r="E18" s="7" t="s">
        <v>139</v>
      </c>
      <c r="F18" s="7"/>
      <c r="G18" s="7"/>
      <c r="H18" s="7"/>
      <c r="I18" s="7"/>
      <c r="J18" s="7"/>
      <c r="K18" s="8"/>
      <c r="L18" s="8"/>
      <c r="M18" s="8"/>
      <c r="N18" s="8"/>
      <c r="O18" s="8"/>
      <c r="P18" s="8"/>
      <c r="Q18" s="8"/>
      <c r="R18" s="8"/>
      <c r="S18" s="8"/>
      <c r="T18" s="8"/>
      <c r="U18" s="8"/>
      <c r="V18" s="8"/>
      <c r="W18" s="8"/>
      <c r="X18" s="8"/>
      <c r="Y18" s="8"/>
      <c r="Z18" s="8"/>
      <c r="AA18" s="8"/>
      <c r="AB18" s="9" t="str">
        <f t="shared" si="0"/>
        <v/>
      </c>
      <c r="AC18" s="9" t="str">
        <f t="shared" si="1"/>
        <v>없음</v>
      </c>
      <c r="AD18" s="9" t="str">
        <f t="shared" si="2"/>
        <v/>
      </c>
      <c r="AE18" s="9" t="str">
        <f t="shared" si="3"/>
        <v>없음</v>
      </c>
      <c r="AF18" s="9" t="str">
        <f t="shared" si="4"/>
        <v/>
      </c>
      <c r="AG18" s="9" t="str">
        <f t="shared" si="5"/>
        <v>N</v>
      </c>
    </row>
    <row r="19" spans="1:33" ht="110" customHeight="1">
      <c r="A19" s="7" t="s">
        <v>140</v>
      </c>
      <c r="B19" s="7" t="s">
        <v>141</v>
      </c>
      <c r="C19" s="7" t="s">
        <v>142</v>
      </c>
      <c r="D19" s="7" t="s">
        <v>143</v>
      </c>
      <c r="E19" s="7" t="s">
        <v>144</v>
      </c>
      <c r="F19" s="7"/>
      <c r="G19" s="7"/>
      <c r="H19" s="7"/>
      <c r="I19" s="7"/>
      <c r="J19" s="7"/>
      <c r="K19" s="8"/>
      <c r="L19" s="8"/>
      <c r="M19" s="8"/>
      <c r="N19" s="8"/>
      <c r="O19" s="8"/>
      <c r="P19" s="8"/>
      <c r="Q19" s="8"/>
      <c r="R19" s="8"/>
      <c r="S19" s="8"/>
      <c r="T19" s="8"/>
      <c r="U19" s="8"/>
      <c r="V19" s="8"/>
      <c r="W19" s="8"/>
      <c r="X19" s="8"/>
      <c r="Y19" s="8"/>
      <c r="Z19" s="8"/>
      <c r="AA19" s="8"/>
      <c r="AB19" s="9" t="str">
        <f t="shared" si="0"/>
        <v/>
      </c>
      <c r="AC19" s="9" t="str">
        <f t="shared" si="1"/>
        <v>없음</v>
      </c>
      <c r="AD19" s="9" t="str">
        <f t="shared" si="2"/>
        <v/>
      </c>
      <c r="AE19" s="9" t="str">
        <f t="shared" si="3"/>
        <v>없음</v>
      </c>
      <c r="AF19" s="9" t="str">
        <f t="shared" si="4"/>
        <v/>
      </c>
      <c r="AG19" s="9" t="str">
        <f t="shared" si="5"/>
        <v>N</v>
      </c>
    </row>
    <row r="20" spans="1:33" ht="110" customHeight="1">
      <c r="A20" s="7" t="s">
        <v>145</v>
      </c>
      <c r="B20" s="7" t="s">
        <v>146</v>
      </c>
      <c r="C20" s="7" t="s">
        <v>147</v>
      </c>
      <c r="D20" s="7" t="s">
        <v>148</v>
      </c>
      <c r="E20" s="7" t="s">
        <v>149</v>
      </c>
      <c r="F20" s="7"/>
      <c r="G20" s="7"/>
      <c r="H20" s="7"/>
      <c r="I20" s="7"/>
      <c r="J20" s="7"/>
      <c r="K20" s="8"/>
      <c r="L20" s="8"/>
      <c r="M20" s="8"/>
      <c r="N20" s="8"/>
      <c r="O20" s="8"/>
      <c r="P20" s="8"/>
      <c r="Q20" s="8"/>
      <c r="R20" s="8"/>
      <c r="S20" s="8"/>
      <c r="T20" s="8"/>
      <c r="U20" s="8"/>
      <c r="V20" s="8"/>
      <c r="W20" s="8"/>
      <c r="X20" s="8"/>
      <c r="Y20" s="8"/>
      <c r="Z20" s="8"/>
      <c r="AA20" s="8"/>
      <c r="AB20" s="9" t="str">
        <f t="shared" si="0"/>
        <v/>
      </c>
      <c r="AC20" s="9" t="str">
        <f t="shared" si="1"/>
        <v>없음</v>
      </c>
      <c r="AD20" s="9" t="str">
        <f t="shared" si="2"/>
        <v/>
      </c>
      <c r="AE20" s="9" t="str">
        <f t="shared" si="3"/>
        <v>없음</v>
      </c>
      <c r="AF20" s="9" t="str">
        <f t="shared" si="4"/>
        <v/>
      </c>
      <c r="AG20" s="9" t="str">
        <f t="shared" si="5"/>
        <v>N</v>
      </c>
    </row>
    <row r="21" spans="1:33" ht="110" customHeight="1">
      <c r="A21" s="7" t="s">
        <v>150</v>
      </c>
      <c r="B21" s="7" t="s">
        <v>151</v>
      </c>
      <c r="C21" s="7" t="s">
        <v>152</v>
      </c>
      <c r="D21" s="7" t="s">
        <v>153</v>
      </c>
      <c r="E21" s="7" t="s">
        <v>154</v>
      </c>
      <c r="F21" s="7" t="s">
        <v>155</v>
      </c>
      <c r="G21" s="7"/>
      <c r="H21" s="7"/>
      <c r="I21" s="7"/>
      <c r="J21" s="7"/>
      <c r="K21" s="8"/>
      <c r="L21" s="8"/>
      <c r="M21" s="8"/>
      <c r="N21" s="8"/>
      <c r="O21" s="8"/>
      <c r="P21" s="8"/>
      <c r="Q21" s="8"/>
      <c r="R21" s="8"/>
      <c r="S21" s="8"/>
      <c r="T21" s="8"/>
      <c r="U21" s="8"/>
      <c r="V21" s="8"/>
      <c r="W21" s="8"/>
      <c r="X21" s="8"/>
      <c r="Y21" s="8"/>
      <c r="Z21" s="8"/>
      <c r="AA21" s="8"/>
      <c r="AB21" s="9" t="str">
        <f t="shared" si="0"/>
        <v/>
      </c>
      <c r="AC21" s="9" t="str">
        <f t="shared" si="1"/>
        <v>없음</v>
      </c>
      <c r="AD21" s="9" t="str">
        <f t="shared" si="2"/>
        <v/>
      </c>
      <c r="AE21" s="9" t="str">
        <f t="shared" si="3"/>
        <v>없음</v>
      </c>
      <c r="AF21" s="9" t="str">
        <f t="shared" si="4"/>
        <v/>
      </c>
      <c r="AG21" s="9" t="str">
        <f t="shared" si="5"/>
        <v>N</v>
      </c>
    </row>
    <row r="22" spans="1:33" ht="110" customHeight="1">
      <c r="A22" s="7" t="s">
        <v>156</v>
      </c>
      <c r="B22" s="7" t="s">
        <v>157</v>
      </c>
      <c r="C22" s="7" t="s">
        <v>158</v>
      </c>
      <c r="D22" s="7" t="s">
        <v>159</v>
      </c>
      <c r="E22" s="7" t="s">
        <v>160</v>
      </c>
      <c r="F22" s="7" t="s">
        <v>161</v>
      </c>
      <c r="G22" s="7"/>
      <c r="H22" s="7"/>
      <c r="I22" s="7"/>
      <c r="J22" s="7"/>
      <c r="K22" s="8"/>
      <c r="L22" s="8"/>
      <c r="M22" s="8"/>
      <c r="N22" s="8"/>
      <c r="O22" s="8"/>
      <c r="P22" s="8"/>
      <c r="Q22" s="8"/>
      <c r="R22" s="8"/>
      <c r="S22" s="8"/>
      <c r="T22" s="8"/>
      <c r="U22" s="8"/>
      <c r="V22" s="8"/>
      <c r="W22" s="8"/>
      <c r="X22" s="8"/>
      <c r="Y22" s="8"/>
      <c r="Z22" s="8"/>
      <c r="AA22" s="8"/>
      <c r="AB22" s="9" t="str">
        <f t="shared" si="0"/>
        <v/>
      </c>
      <c r="AC22" s="9" t="str">
        <f t="shared" si="1"/>
        <v>없음</v>
      </c>
      <c r="AD22" s="9" t="str">
        <f t="shared" si="2"/>
        <v/>
      </c>
      <c r="AE22" s="9" t="str">
        <f t="shared" si="3"/>
        <v>없음</v>
      </c>
      <c r="AF22" s="9" t="str">
        <f t="shared" si="4"/>
        <v/>
      </c>
      <c r="AG22" s="9" t="str">
        <f t="shared" si="5"/>
        <v>N</v>
      </c>
    </row>
    <row r="23" spans="1:33" ht="110" customHeight="1">
      <c r="A23" s="7" t="s">
        <v>162</v>
      </c>
      <c r="B23" s="7" t="s">
        <v>163</v>
      </c>
      <c r="C23" s="7" t="s">
        <v>164</v>
      </c>
      <c r="D23" s="7" t="s">
        <v>165</v>
      </c>
      <c r="E23" s="7" t="s">
        <v>166</v>
      </c>
      <c r="F23" s="7" t="s">
        <v>167</v>
      </c>
      <c r="G23" s="7"/>
      <c r="H23" s="7"/>
      <c r="I23" s="7" t="s">
        <v>168</v>
      </c>
      <c r="J23" s="7"/>
      <c r="K23" s="8"/>
      <c r="L23" s="8"/>
      <c r="M23" s="8"/>
      <c r="N23" s="8"/>
      <c r="O23" s="8"/>
      <c r="P23" s="8"/>
      <c r="Q23" s="8"/>
      <c r="R23" s="8"/>
      <c r="S23" s="8"/>
      <c r="T23" s="8"/>
      <c r="U23" s="8"/>
      <c r="V23" s="8"/>
      <c r="W23" s="8"/>
      <c r="X23" s="8"/>
      <c r="Y23" s="8"/>
      <c r="Z23" s="8"/>
      <c r="AA23" s="8"/>
      <c r="AB23" s="9" t="str">
        <f t="shared" si="0"/>
        <v/>
      </c>
      <c r="AC23" s="9" t="str">
        <f t="shared" si="1"/>
        <v>없음</v>
      </c>
      <c r="AD23" s="9" t="str">
        <f t="shared" si="2"/>
        <v/>
      </c>
      <c r="AE23" s="9" t="str">
        <f t="shared" si="3"/>
        <v>없음</v>
      </c>
      <c r="AF23" s="9" t="str">
        <f t="shared" si="4"/>
        <v/>
      </c>
      <c r="AG23" s="9" t="str">
        <f t="shared" si="5"/>
        <v>N</v>
      </c>
    </row>
    <row r="24" spans="1:33" ht="110" customHeight="1">
      <c r="A24" s="7" t="s">
        <v>169</v>
      </c>
      <c r="B24" s="7" t="s">
        <v>170</v>
      </c>
      <c r="C24" s="7" t="s">
        <v>171</v>
      </c>
      <c r="D24" s="7" t="s">
        <v>172</v>
      </c>
      <c r="E24" s="7" t="s">
        <v>173</v>
      </c>
      <c r="F24" s="7"/>
      <c r="G24" s="7"/>
      <c r="H24" s="7" t="s">
        <v>174</v>
      </c>
      <c r="I24" s="7"/>
      <c r="J24" s="7"/>
      <c r="K24" s="8"/>
      <c r="L24" s="8"/>
      <c r="M24" s="8"/>
      <c r="N24" s="8"/>
      <c r="O24" s="8"/>
      <c r="P24" s="8"/>
      <c r="Q24" s="8"/>
      <c r="R24" s="8"/>
      <c r="S24" s="8"/>
      <c r="T24" s="8"/>
      <c r="U24" s="8"/>
      <c r="V24" s="8"/>
      <c r="W24" s="8"/>
      <c r="X24" s="8"/>
      <c r="Y24" s="8"/>
      <c r="Z24" s="8"/>
      <c r="AA24" s="8"/>
      <c r="AB24" s="9" t="str">
        <f t="shared" si="0"/>
        <v/>
      </c>
      <c r="AC24" s="9" t="str">
        <f t="shared" si="1"/>
        <v>없음</v>
      </c>
      <c r="AD24" s="9" t="str">
        <f t="shared" si="2"/>
        <v/>
      </c>
      <c r="AE24" s="9" t="str">
        <f t="shared" si="3"/>
        <v>없음</v>
      </c>
      <c r="AF24" s="9" t="str">
        <f t="shared" si="4"/>
        <v/>
      </c>
      <c r="AG24" s="9" t="str">
        <f t="shared" si="5"/>
        <v>N</v>
      </c>
    </row>
    <row r="25" spans="1:33" ht="110" customHeight="1">
      <c r="A25" s="7" t="s">
        <v>175</v>
      </c>
      <c r="B25" s="7" t="s">
        <v>176</v>
      </c>
      <c r="C25" s="7" t="s">
        <v>177</v>
      </c>
      <c r="D25" s="7" t="s">
        <v>178</v>
      </c>
      <c r="E25" s="7" t="s">
        <v>179</v>
      </c>
      <c r="F25" s="7"/>
      <c r="G25" s="7"/>
      <c r="H25" s="7"/>
      <c r="I25" s="7"/>
      <c r="J25" s="7"/>
      <c r="K25" s="8"/>
      <c r="L25" s="8"/>
      <c r="M25" s="8"/>
      <c r="N25" s="8"/>
      <c r="O25" s="8"/>
      <c r="P25" s="8"/>
      <c r="Q25" s="8"/>
      <c r="R25" s="8"/>
      <c r="S25" s="8"/>
      <c r="T25" s="8"/>
      <c r="U25" s="8"/>
      <c r="V25" s="8"/>
      <c r="W25" s="8"/>
      <c r="X25" s="8"/>
      <c r="Y25" s="8"/>
      <c r="Z25" s="8"/>
      <c r="AA25" s="8"/>
      <c r="AB25" s="9" t="str">
        <f t="shared" si="0"/>
        <v/>
      </c>
      <c r="AC25" s="9" t="str">
        <f t="shared" si="1"/>
        <v>없음</v>
      </c>
      <c r="AD25" s="9" t="str">
        <f t="shared" si="2"/>
        <v/>
      </c>
      <c r="AE25" s="9" t="str">
        <f t="shared" si="3"/>
        <v>없음</v>
      </c>
      <c r="AF25" s="9" t="str">
        <f t="shared" si="4"/>
        <v/>
      </c>
      <c r="AG25" s="9" t="str">
        <f t="shared" si="5"/>
        <v>N</v>
      </c>
    </row>
    <row r="26" spans="1:33" ht="110" customHeight="1">
      <c r="A26" s="7" t="s">
        <v>180</v>
      </c>
      <c r="B26" s="7" t="s">
        <v>181</v>
      </c>
      <c r="C26" s="7" t="s">
        <v>182</v>
      </c>
      <c r="D26" s="7" t="s">
        <v>183</v>
      </c>
      <c r="E26" s="7" t="s">
        <v>184</v>
      </c>
      <c r="F26" s="7" t="s">
        <v>185</v>
      </c>
      <c r="G26" s="7"/>
      <c r="H26" s="7"/>
      <c r="I26" s="7" t="s">
        <v>186</v>
      </c>
      <c r="J26" s="7"/>
      <c r="K26" s="8"/>
      <c r="L26" s="8"/>
      <c r="M26" s="8"/>
      <c r="N26" s="8"/>
      <c r="O26" s="8"/>
      <c r="P26" s="8"/>
      <c r="Q26" s="8"/>
      <c r="R26" s="8"/>
      <c r="S26" s="8"/>
      <c r="T26" s="8"/>
      <c r="U26" s="8"/>
      <c r="V26" s="8"/>
      <c r="W26" s="8"/>
      <c r="X26" s="8"/>
      <c r="Y26" s="8"/>
      <c r="Z26" s="8"/>
      <c r="AA26" s="8"/>
      <c r="AB26" s="9" t="str">
        <f t="shared" si="0"/>
        <v/>
      </c>
      <c r="AC26" s="9" t="str">
        <f t="shared" si="1"/>
        <v>없음</v>
      </c>
      <c r="AD26" s="9" t="str">
        <f t="shared" si="2"/>
        <v/>
      </c>
      <c r="AE26" s="9" t="str">
        <f t="shared" si="3"/>
        <v>없음</v>
      </c>
      <c r="AF26" s="9" t="str">
        <f t="shared" si="4"/>
        <v/>
      </c>
      <c r="AG26" s="9" t="str">
        <f t="shared" si="5"/>
        <v>N</v>
      </c>
    </row>
    <row r="27" spans="1:33" ht="110" customHeight="1">
      <c r="A27" s="7" t="s">
        <v>187</v>
      </c>
      <c r="B27" s="7" t="s">
        <v>188</v>
      </c>
      <c r="C27" s="7" t="s">
        <v>189</v>
      </c>
      <c r="D27" s="7" t="s">
        <v>190</v>
      </c>
      <c r="E27" s="7" t="s">
        <v>191</v>
      </c>
      <c r="F27" s="7"/>
      <c r="G27" s="7"/>
      <c r="H27" s="7"/>
      <c r="I27" s="7"/>
      <c r="J27" s="7"/>
      <c r="K27" s="8"/>
      <c r="L27" s="8"/>
      <c r="M27" s="8"/>
      <c r="N27" s="8"/>
      <c r="O27" s="8"/>
      <c r="P27" s="8"/>
      <c r="Q27" s="8"/>
      <c r="R27" s="8"/>
      <c r="S27" s="8"/>
      <c r="T27" s="8"/>
      <c r="U27" s="8"/>
      <c r="V27" s="8"/>
      <c r="W27" s="8"/>
      <c r="X27" s="8"/>
      <c r="Y27" s="8"/>
      <c r="Z27" s="8"/>
      <c r="AA27" s="8"/>
      <c r="AB27" s="9" t="str">
        <f t="shared" si="0"/>
        <v/>
      </c>
      <c r="AC27" s="9" t="str">
        <f t="shared" si="1"/>
        <v>없음</v>
      </c>
      <c r="AD27" s="9" t="str">
        <f t="shared" si="2"/>
        <v/>
      </c>
      <c r="AE27" s="9" t="str">
        <f t="shared" si="3"/>
        <v>없음</v>
      </c>
      <c r="AF27" s="9" t="str">
        <f t="shared" si="4"/>
        <v/>
      </c>
      <c r="AG27" s="9" t="str">
        <f t="shared" si="5"/>
        <v>N</v>
      </c>
    </row>
    <row r="28" spans="1:33" ht="110" customHeight="1">
      <c r="A28" s="7" t="s">
        <v>192</v>
      </c>
      <c r="B28" s="7" t="s">
        <v>193</v>
      </c>
      <c r="C28" s="7" t="s">
        <v>194</v>
      </c>
      <c r="D28" s="7" t="s">
        <v>195</v>
      </c>
      <c r="E28" s="7" t="s">
        <v>196</v>
      </c>
      <c r="F28" s="7" t="s">
        <v>197</v>
      </c>
      <c r="G28" s="7"/>
      <c r="H28" s="7"/>
      <c r="I28" s="7"/>
      <c r="J28" s="7"/>
      <c r="K28" s="8"/>
      <c r="L28" s="8"/>
      <c r="M28" s="8"/>
      <c r="N28" s="8"/>
      <c r="O28" s="8"/>
      <c r="P28" s="8"/>
      <c r="Q28" s="8"/>
      <c r="R28" s="8"/>
      <c r="S28" s="8"/>
      <c r="T28" s="8"/>
      <c r="U28" s="8"/>
      <c r="V28" s="8"/>
      <c r="W28" s="8"/>
      <c r="X28" s="8"/>
      <c r="Y28" s="8"/>
      <c r="Z28" s="8"/>
      <c r="AA28" s="8"/>
      <c r="AB28" s="9" t="str">
        <f t="shared" si="0"/>
        <v/>
      </c>
      <c r="AC28" s="9" t="str">
        <f t="shared" si="1"/>
        <v>없음</v>
      </c>
      <c r="AD28" s="9" t="str">
        <f t="shared" si="2"/>
        <v/>
      </c>
      <c r="AE28" s="9" t="str">
        <f t="shared" si="3"/>
        <v>없음</v>
      </c>
      <c r="AF28" s="9" t="str">
        <f t="shared" si="4"/>
        <v/>
      </c>
      <c r="AG28" s="9" t="str">
        <f t="shared" si="5"/>
        <v>N</v>
      </c>
    </row>
    <row r="29" spans="1:33" ht="110" customHeight="1">
      <c r="A29" s="7" t="s">
        <v>198</v>
      </c>
      <c r="B29" s="7" t="s">
        <v>199</v>
      </c>
      <c r="C29" s="7" t="s">
        <v>200</v>
      </c>
      <c r="D29" s="7" t="s">
        <v>201</v>
      </c>
      <c r="E29" s="7" t="s">
        <v>202</v>
      </c>
      <c r="F29" s="7"/>
      <c r="G29" s="7"/>
      <c r="H29" s="7"/>
      <c r="I29" s="7"/>
      <c r="J29" s="7"/>
      <c r="K29" s="8"/>
      <c r="L29" s="8"/>
      <c r="M29" s="8"/>
      <c r="N29" s="8"/>
      <c r="O29" s="8"/>
      <c r="P29" s="8"/>
      <c r="Q29" s="8"/>
      <c r="R29" s="8"/>
      <c r="S29" s="8"/>
      <c r="T29" s="8"/>
      <c r="U29" s="8"/>
      <c r="V29" s="8"/>
      <c r="W29" s="8"/>
      <c r="X29" s="8"/>
      <c r="Y29" s="8"/>
      <c r="Z29" s="8"/>
      <c r="AA29" s="8"/>
      <c r="AB29" s="9" t="str">
        <f t="shared" si="0"/>
        <v/>
      </c>
      <c r="AC29" s="9" t="str">
        <f t="shared" si="1"/>
        <v>없음</v>
      </c>
      <c r="AD29" s="9" t="str">
        <f t="shared" si="2"/>
        <v/>
      </c>
      <c r="AE29" s="9" t="str">
        <f t="shared" si="3"/>
        <v>없음</v>
      </c>
      <c r="AF29" s="9" t="str">
        <f t="shared" si="4"/>
        <v/>
      </c>
      <c r="AG29" s="9" t="str">
        <f t="shared" si="5"/>
        <v>N</v>
      </c>
    </row>
    <row r="30" spans="1:33" ht="110" customHeight="1">
      <c r="A30" s="7" t="s">
        <v>203</v>
      </c>
      <c r="B30" s="7" t="s">
        <v>204</v>
      </c>
      <c r="C30" s="7" t="s">
        <v>205</v>
      </c>
      <c r="D30" s="7" t="s">
        <v>206</v>
      </c>
      <c r="E30" s="7" t="s">
        <v>207</v>
      </c>
      <c r="F30" s="7"/>
      <c r="G30" s="7"/>
      <c r="H30" s="7"/>
      <c r="I30" s="7"/>
      <c r="J30" s="7"/>
      <c r="K30" s="8"/>
      <c r="L30" s="8"/>
      <c r="M30" s="8"/>
      <c r="N30" s="8"/>
      <c r="O30" s="8"/>
      <c r="P30" s="8"/>
      <c r="Q30" s="8"/>
      <c r="R30" s="8"/>
      <c r="S30" s="8"/>
      <c r="T30" s="8"/>
      <c r="U30" s="8"/>
      <c r="V30" s="8"/>
      <c r="W30" s="8"/>
      <c r="X30" s="8"/>
      <c r="Y30" s="8"/>
      <c r="Z30" s="8"/>
      <c r="AA30" s="8"/>
      <c r="AB30" s="9" t="str">
        <f t="shared" si="0"/>
        <v/>
      </c>
      <c r="AC30" s="9" t="str">
        <f t="shared" si="1"/>
        <v>없음</v>
      </c>
      <c r="AD30" s="9" t="str">
        <f t="shared" si="2"/>
        <v/>
      </c>
      <c r="AE30" s="9" t="str">
        <f t="shared" si="3"/>
        <v>없음</v>
      </c>
      <c r="AF30" s="9" t="str">
        <f t="shared" si="4"/>
        <v/>
      </c>
      <c r="AG30" s="9" t="str">
        <f t="shared" si="5"/>
        <v>N</v>
      </c>
    </row>
    <row r="31" spans="1:33" ht="110" customHeight="1">
      <c r="A31" s="7" t="s">
        <v>208</v>
      </c>
      <c r="B31" s="7" t="s">
        <v>209</v>
      </c>
      <c r="C31" s="7" t="s">
        <v>210</v>
      </c>
      <c r="D31" s="7" t="s">
        <v>211</v>
      </c>
      <c r="E31" s="7" t="s">
        <v>212</v>
      </c>
      <c r="F31" s="7" t="s">
        <v>213</v>
      </c>
      <c r="G31" s="7"/>
      <c r="H31" s="7"/>
      <c r="I31" s="7"/>
      <c r="J31" s="7"/>
      <c r="K31" s="8"/>
      <c r="L31" s="8"/>
      <c r="M31" s="8"/>
      <c r="N31" s="8"/>
      <c r="O31" s="8"/>
      <c r="P31" s="8"/>
      <c r="Q31" s="8"/>
      <c r="R31" s="8"/>
      <c r="S31" s="8"/>
      <c r="T31" s="8"/>
      <c r="U31" s="8"/>
      <c r="V31" s="8"/>
      <c r="W31" s="8"/>
      <c r="X31" s="8"/>
      <c r="Y31" s="8"/>
      <c r="Z31" s="8"/>
      <c r="AA31" s="8"/>
      <c r="AB31" s="9" t="str">
        <f t="shared" si="0"/>
        <v/>
      </c>
      <c r="AC31" s="9" t="str">
        <f t="shared" si="1"/>
        <v>없음</v>
      </c>
      <c r="AD31" s="9" t="str">
        <f t="shared" si="2"/>
        <v/>
      </c>
      <c r="AE31" s="9" t="str">
        <f t="shared" si="3"/>
        <v>없음</v>
      </c>
      <c r="AF31" s="9" t="str">
        <f t="shared" si="4"/>
        <v/>
      </c>
      <c r="AG31" s="9" t="str">
        <f t="shared" si="5"/>
        <v>N</v>
      </c>
    </row>
    <row r="32" spans="1:33" ht="110" customHeight="1">
      <c r="A32" s="7" t="s">
        <v>214</v>
      </c>
      <c r="B32" s="7" t="s">
        <v>215</v>
      </c>
      <c r="C32" s="7" t="s">
        <v>216</v>
      </c>
      <c r="D32" s="7" t="s">
        <v>217</v>
      </c>
      <c r="E32" s="7" t="s">
        <v>218</v>
      </c>
      <c r="F32" s="7"/>
      <c r="G32" s="7"/>
      <c r="H32" s="7"/>
      <c r="I32" s="7"/>
      <c r="J32" s="7"/>
      <c r="K32" s="8"/>
      <c r="L32" s="8"/>
      <c r="M32" s="8"/>
      <c r="N32" s="8"/>
      <c r="O32" s="8"/>
      <c r="P32" s="8"/>
      <c r="Q32" s="8"/>
      <c r="R32" s="8"/>
      <c r="S32" s="8"/>
      <c r="T32" s="8"/>
      <c r="U32" s="8"/>
      <c r="V32" s="8"/>
      <c r="W32" s="8"/>
      <c r="X32" s="8"/>
      <c r="Y32" s="8"/>
      <c r="Z32" s="8"/>
      <c r="AA32" s="8"/>
      <c r="AB32" s="9" t="str">
        <f t="shared" si="0"/>
        <v/>
      </c>
      <c r="AC32" s="9" t="str">
        <f t="shared" si="1"/>
        <v>없음</v>
      </c>
      <c r="AD32" s="9" t="str">
        <f t="shared" si="2"/>
        <v/>
      </c>
      <c r="AE32" s="9" t="str">
        <f t="shared" si="3"/>
        <v>없음</v>
      </c>
      <c r="AF32" s="9" t="str">
        <f t="shared" si="4"/>
        <v/>
      </c>
      <c r="AG32" s="9" t="str">
        <f t="shared" si="5"/>
        <v>N</v>
      </c>
    </row>
    <row r="33" spans="1:33" ht="110" customHeight="1">
      <c r="A33" s="7" t="s">
        <v>219</v>
      </c>
      <c r="B33" s="7" t="s">
        <v>220</v>
      </c>
      <c r="C33" s="7" t="s">
        <v>221</v>
      </c>
      <c r="D33" s="7" t="s">
        <v>222</v>
      </c>
      <c r="E33" s="7" t="s">
        <v>223</v>
      </c>
      <c r="F33" s="7"/>
      <c r="G33" s="7"/>
      <c r="H33" s="7"/>
      <c r="I33" s="7"/>
      <c r="J33" s="7"/>
      <c r="K33" s="8"/>
      <c r="L33" s="8"/>
      <c r="M33" s="8"/>
      <c r="N33" s="8"/>
      <c r="O33" s="8"/>
      <c r="P33" s="8"/>
      <c r="Q33" s="8"/>
      <c r="R33" s="8"/>
      <c r="S33" s="8"/>
      <c r="T33" s="8"/>
      <c r="U33" s="8"/>
      <c r="V33" s="8"/>
      <c r="W33" s="8"/>
      <c r="X33" s="8"/>
      <c r="Y33" s="8"/>
      <c r="Z33" s="8"/>
      <c r="AA33" s="8"/>
      <c r="AB33" s="9" t="str">
        <f t="shared" si="0"/>
        <v/>
      </c>
      <c r="AC33" s="9" t="str">
        <f t="shared" si="1"/>
        <v>없음</v>
      </c>
      <c r="AD33" s="9" t="str">
        <f t="shared" si="2"/>
        <v/>
      </c>
      <c r="AE33" s="9" t="str">
        <f t="shared" si="3"/>
        <v>없음</v>
      </c>
      <c r="AF33" s="9" t="str">
        <f t="shared" si="4"/>
        <v/>
      </c>
      <c r="AG33" s="9" t="str">
        <f t="shared" si="5"/>
        <v>N</v>
      </c>
    </row>
    <row r="34" spans="1:33" ht="110" customHeight="1">
      <c r="A34" s="7" t="s">
        <v>224</v>
      </c>
      <c r="B34" s="7" t="s">
        <v>225</v>
      </c>
      <c r="C34" s="7" t="s">
        <v>226</v>
      </c>
      <c r="D34" s="7" t="s">
        <v>227</v>
      </c>
      <c r="E34" s="7" t="s">
        <v>228</v>
      </c>
      <c r="F34" s="7"/>
      <c r="G34" s="7"/>
      <c r="H34" s="7"/>
      <c r="I34" s="7"/>
      <c r="J34" s="7"/>
      <c r="K34" s="8"/>
      <c r="L34" s="8"/>
      <c r="M34" s="8"/>
      <c r="N34" s="8"/>
      <c r="O34" s="8"/>
      <c r="P34" s="8"/>
      <c r="Q34" s="8"/>
      <c r="R34" s="8"/>
      <c r="S34" s="8"/>
      <c r="T34" s="8"/>
      <c r="U34" s="8"/>
      <c r="V34" s="8"/>
      <c r="W34" s="8"/>
      <c r="X34" s="8"/>
      <c r="Y34" s="8"/>
      <c r="Z34" s="8"/>
      <c r="AA34" s="8"/>
      <c r="AB34" s="9" t="str">
        <f t="shared" ref="AB34:AB65" si="6">IF(LEN(IF(K34="Y","규격;","")&amp;IF(L34="Y","가공상태;","")&amp;IF(M34="Y","용도;","")&amp;IF(N34="Y","분류;","")&amp;IF(O34="Y","제품지정;",""))=0,"",LEFT(IF(K34="Y","규격;","")&amp;IF(L34="Y","가공상태;","")&amp;IF(M34="Y","용도;","")&amp;IF(N34="Y","분류;","")&amp;IF(O34="Y","제품지정;",""),LEN(IF(K34="Y","규격;","")&amp;IF(L34="Y","가공상태;","")&amp;IF(M34="Y","용도;","")&amp;IF(N34="Y","분류;","")&amp;IF(O34="Y","제품지정;",""))-1))</f>
        <v/>
      </c>
      <c r="AC34" s="9" t="str">
        <f t="shared" ref="AC34:AC65" si="7">IF(COUNTIF(K34:O34,"Y")=0,"없음",IF(COUNTIF(K34:O34,"Y")&gt;1,"복합",IF(K34="Y","규격",IF(L34="Y","가공상태",IF(M34="Y","용도",IF(N34="Y","분류",IF(O34="Y","제품지정","")))))))</f>
        <v>없음</v>
      </c>
      <c r="AD34" s="9" t="str">
        <f t="shared" ref="AD34:AD65" si="8">IF(LEN(IF(P34="Y","규격;","")&amp;IF(Q34="Y","가공상태;","")&amp;IF(R34="Y","용도;","")&amp;IF(S34="Y","분류;","")&amp;IF(T34="Y","제품지정;",""))=0,"",LEFT(IF(P34="Y","규격;","")&amp;IF(Q34="Y","가공상태;","")&amp;IF(R34="Y","용도;","")&amp;IF(S34="Y","분류;","")&amp;IF(T34="Y","제품지정;",""),LEN(IF(P34="Y","규격;","")&amp;IF(Q34="Y","가공상태;","")&amp;IF(R34="Y","용도;","")&amp;IF(S34="Y","분류;","")&amp;IF(T34="Y","제품지정;",""))-1))</f>
        <v/>
      </c>
      <c r="AE34" s="9" t="str">
        <f t="shared" ref="AE34:AE65" si="9">IF(COUNTIF(P34:T34,"Y")=0,"없음",IF(COUNTIF(P34:T34,"Y")&gt;1,"복합",IF(P34="Y","규격",IF(Q34="Y","가공상태",IF(R34="Y","용도",IF(S34="Y","분류",IF(T34="Y","제품지정","")))))))</f>
        <v>없음</v>
      </c>
      <c r="AF34" s="9" t="str">
        <f t="shared" ref="AF34:AF65" si="10">IF(U34="","",IF(U34="없음","N","Y"))</f>
        <v/>
      </c>
      <c r="AG34" s="9" t="str">
        <f t="shared" ref="AG34:AG65" si="11">IF(OR(M34="Y",R34="Y"),"Y","N")</f>
        <v>N</v>
      </c>
    </row>
    <row r="35" spans="1:33" ht="110" customHeight="1">
      <c r="A35" s="7" t="s">
        <v>229</v>
      </c>
      <c r="B35" s="7" t="s">
        <v>230</v>
      </c>
      <c r="C35" s="7" t="s">
        <v>226</v>
      </c>
      <c r="D35" s="7" t="s">
        <v>227</v>
      </c>
      <c r="E35" s="7" t="s">
        <v>231</v>
      </c>
      <c r="F35" s="7" t="s">
        <v>232</v>
      </c>
      <c r="G35" s="7"/>
      <c r="H35" s="7"/>
      <c r="I35" s="7"/>
      <c r="J35" s="7"/>
      <c r="K35" s="8"/>
      <c r="L35" s="8"/>
      <c r="M35" s="8"/>
      <c r="N35" s="8"/>
      <c r="O35" s="8"/>
      <c r="P35" s="8"/>
      <c r="Q35" s="8"/>
      <c r="R35" s="8"/>
      <c r="S35" s="8"/>
      <c r="T35" s="8"/>
      <c r="U35" s="8"/>
      <c r="V35" s="8"/>
      <c r="W35" s="8"/>
      <c r="X35" s="8"/>
      <c r="Y35" s="8"/>
      <c r="Z35" s="8"/>
      <c r="AA35" s="8"/>
      <c r="AB35" s="9" t="str">
        <f t="shared" si="6"/>
        <v/>
      </c>
      <c r="AC35" s="9" t="str">
        <f t="shared" si="7"/>
        <v>없음</v>
      </c>
      <c r="AD35" s="9" t="str">
        <f t="shared" si="8"/>
        <v/>
      </c>
      <c r="AE35" s="9" t="str">
        <f t="shared" si="9"/>
        <v>없음</v>
      </c>
      <c r="AF35" s="9" t="str">
        <f t="shared" si="10"/>
        <v/>
      </c>
      <c r="AG35" s="9" t="str">
        <f t="shared" si="11"/>
        <v>N</v>
      </c>
    </row>
    <row r="36" spans="1:33" ht="110" customHeight="1">
      <c r="A36" s="7" t="s">
        <v>233</v>
      </c>
      <c r="B36" s="7" t="s">
        <v>234</v>
      </c>
      <c r="C36" s="7" t="s">
        <v>226</v>
      </c>
      <c r="D36" s="7" t="s">
        <v>227</v>
      </c>
      <c r="E36" s="7" t="s">
        <v>235</v>
      </c>
      <c r="F36" s="7" t="s">
        <v>236</v>
      </c>
      <c r="G36" s="7"/>
      <c r="H36" s="7"/>
      <c r="I36" s="7"/>
      <c r="J36" s="7"/>
      <c r="K36" s="8"/>
      <c r="L36" s="8"/>
      <c r="M36" s="8"/>
      <c r="N36" s="8"/>
      <c r="O36" s="8"/>
      <c r="P36" s="8"/>
      <c r="Q36" s="8"/>
      <c r="R36" s="8"/>
      <c r="S36" s="8"/>
      <c r="T36" s="8"/>
      <c r="U36" s="8"/>
      <c r="V36" s="8"/>
      <c r="W36" s="8"/>
      <c r="X36" s="8"/>
      <c r="Y36" s="8"/>
      <c r="Z36" s="8"/>
      <c r="AA36" s="8"/>
      <c r="AB36" s="9" t="str">
        <f t="shared" si="6"/>
        <v/>
      </c>
      <c r="AC36" s="9" t="str">
        <f t="shared" si="7"/>
        <v>없음</v>
      </c>
      <c r="AD36" s="9" t="str">
        <f t="shared" si="8"/>
        <v/>
      </c>
      <c r="AE36" s="9" t="str">
        <f t="shared" si="9"/>
        <v>없음</v>
      </c>
      <c r="AF36" s="9" t="str">
        <f t="shared" si="10"/>
        <v/>
      </c>
      <c r="AG36" s="9" t="str">
        <f t="shared" si="11"/>
        <v>N</v>
      </c>
    </row>
    <row r="37" spans="1:33" ht="110" customHeight="1">
      <c r="A37" s="7" t="s">
        <v>237</v>
      </c>
      <c r="B37" s="7" t="s">
        <v>238</v>
      </c>
      <c r="C37" s="7" t="s">
        <v>239</v>
      </c>
      <c r="D37" s="7" t="s">
        <v>240</v>
      </c>
      <c r="E37" s="7" t="s">
        <v>241</v>
      </c>
      <c r="F37" s="7"/>
      <c r="G37" s="7"/>
      <c r="H37" s="7"/>
      <c r="I37" s="7"/>
      <c r="J37" s="7"/>
      <c r="K37" s="8"/>
      <c r="L37" s="8"/>
      <c r="M37" s="8"/>
      <c r="N37" s="8"/>
      <c r="O37" s="8"/>
      <c r="P37" s="8"/>
      <c r="Q37" s="8"/>
      <c r="R37" s="8"/>
      <c r="S37" s="8"/>
      <c r="T37" s="8"/>
      <c r="U37" s="8"/>
      <c r="V37" s="8"/>
      <c r="W37" s="8"/>
      <c r="X37" s="8"/>
      <c r="Y37" s="8"/>
      <c r="Z37" s="8"/>
      <c r="AA37" s="8"/>
      <c r="AB37" s="9" t="str">
        <f t="shared" si="6"/>
        <v/>
      </c>
      <c r="AC37" s="9" t="str">
        <f t="shared" si="7"/>
        <v>없음</v>
      </c>
      <c r="AD37" s="9" t="str">
        <f t="shared" si="8"/>
        <v/>
      </c>
      <c r="AE37" s="9" t="str">
        <f t="shared" si="9"/>
        <v>없음</v>
      </c>
      <c r="AF37" s="9" t="str">
        <f t="shared" si="10"/>
        <v/>
      </c>
      <c r="AG37" s="9" t="str">
        <f t="shared" si="11"/>
        <v>N</v>
      </c>
    </row>
    <row r="38" spans="1:33" ht="110" customHeight="1">
      <c r="A38" s="7" t="s">
        <v>242</v>
      </c>
      <c r="B38" s="7" t="s">
        <v>243</v>
      </c>
      <c r="C38" s="7" t="s">
        <v>244</v>
      </c>
      <c r="D38" s="7" t="s">
        <v>245</v>
      </c>
      <c r="E38" s="7" t="s">
        <v>246</v>
      </c>
      <c r="F38" s="7" t="s">
        <v>247</v>
      </c>
      <c r="G38" s="7" t="s">
        <v>248</v>
      </c>
      <c r="H38" s="7"/>
      <c r="I38" s="7" t="s">
        <v>249</v>
      </c>
      <c r="J38" s="7" t="s">
        <v>250</v>
      </c>
      <c r="K38" s="8"/>
      <c r="L38" s="8"/>
      <c r="M38" s="8"/>
      <c r="N38" s="8"/>
      <c r="O38" s="8"/>
      <c r="P38" s="8"/>
      <c r="Q38" s="8"/>
      <c r="R38" s="8"/>
      <c r="S38" s="8"/>
      <c r="T38" s="8"/>
      <c r="U38" s="8"/>
      <c r="V38" s="8"/>
      <c r="W38" s="8"/>
      <c r="X38" s="8"/>
      <c r="Y38" s="8"/>
      <c r="Z38" s="8"/>
      <c r="AA38" s="8"/>
      <c r="AB38" s="9" t="str">
        <f t="shared" si="6"/>
        <v/>
      </c>
      <c r="AC38" s="9" t="str">
        <f t="shared" si="7"/>
        <v>없음</v>
      </c>
      <c r="AD38" s="9" t="str">
        <f t="shared" si="8"/>
        <v/>
      </c>
      <c r="AE38" s="9" t="str">
        <f t="shared" si="9"/>
        <v>없음</v>
      </c>
      <c r="AF38" s="9" t="str">
        <f t="shared" si="10"/>
        <v/>
      </c>
      <c r="AG38" s="9" t="str">
        <f t="shared" si="11"/>
        <v>N</v>
      </c>
    </row>
    <row r="39" spans="1:33" ht="110" customHeight="1">
      <c r="A39" s="7" t="s">
        <v>251</v>
      </c>
      <c r="B39" s="7" t="s">
        <v>252</v>
      </c>
      <c r="C39" s="7" t="s">
        <v>244</v>
      </c>
      <c r="D39" s="7" t="s">
        <v>253</v>
      </c>
      <c r="E39" s="7" t="s">
        <v>254</v>
      </c>
      <c r="F39" s="7"/>
      <c r="G39" s="7"/>
      <c r="H39" s="7"/>
      <c r="I39" s="7"/>
      <c r="J39" s="7"/>
      <c r="K39" s="8"/>
      <c r="L39" s="8"/>
      <c r="M39" s="8"/>
      <c r="N39" s="8"/>
      <c r="O39" s="8"/>
      <c r="P39" s="8"/>
      <c r="Q39" s="8"/>
      <c r="R39" s="8"/>
      <c r="S39" s="8"/>
      <c r="T39" s="8"/>
      <c r="U39" s="8"/>
      <c r="V39" s="8"/>
      <c r="W39" s="8"/>
      <c r="X39" s="8"/>
      <c r="Y39" s="8"/>
      <c r="Z39" s="8"/>
      <c r="AA39" s="8"/>
      <c r="AB39" s="9" t="str">
        <f t="shared" si="6"/>
        <v/>
      </c>
      <c r="AC39" s="9" t="str">
        <f t="shared" si="7"/>
        <v>없음</v>
      </c>
      <c r="AD39" s="9" t="str">
        <f t="shared" si="8"/>
        <v/>
      </c>
      <c r="AE39" s="9" t="str">
        <f t="shared" si="9"/>
        <v>없음</v>
      </c>
      <c r="AF39" s="9" t="str">
        <f t="shared" si="10"/>
        <v/>
      </c>
      <c r="AG39" s="9" t="str">
        <f t="shared" si="11"/>
        <v>N</v>
      </c>
    </row>
    <row r="40" spans="1:33" ht="110" customHeight="1">
      <c r="A40" s="7" t="s">
        <v>255</v>
      </c>
      <c r="B40" s="7" t="s">
        <v>256</v>
      </c>
      <c r="C40" s="7" t="s">
        <v>257</v>
      </c>
      <c r="D40" s="7" t="s">
        <v>258</v>
      </c>
      <c r="E40" s="7" t="s">
        <v>259</v>
      </c>
      <c r="F40" s="7"/>
      <c r="G40" s="7"/>
      <c r="H40" s="7"/>
      <c r="I40" s="7"/>
      <c r="J40" s="7"/>
      <c r="K40" s="8"/>
      <c r="L40" s="8"/>
      <c r="M40" s="8"/>
      <c r="N40" s="8"/>
      <c r="O40" s="8"/>
      <c r="P40" s="8"/>
      <c r="Q40" s="8"/>
      <c r="R40" s="8"/>
      <c r="S40" s="8"/>
      <c r="T40" s="8"/>
      <c r="U40" s="8"/>
      <c r="V40" s="8"/>
      <c r="W40" s="8"/>
      <c r="X40" s="8"/>
      <c r="Y40" s="8"/>
      <c r="Z40" s="8"/>
      <c r="AA40" s="8"/>
      <c r="AB40" s="9" t="str">
        <f t="shared" si="6"/>
        <v/>
      </c>
      <c r="AC40" s="9" t="str">
        <f t="shared" si="7"/>
        <v>없음</v>
      </c>
      <c r="AD40" s="9" t="str">
        <f t="shared" si="8"/>
        <v/>
      </c>
      <c r="AE40" s="9" t="str">
        <f t="shared" si="9"/>
        <v>없음</v>
      </c>
      <c r="AF40" s="9" t="str">
        <f t="shared" si="10"/>
        <v/>
      </c>
      <c r="AG40" s="9" t="str">
        <f t="shared" si="11"/>
        <v>N</v>
      </c>
    </row>
    <row r="41" spans="1:33" ht="110" customHeight="1">
      <c r="A41" s="7" t="s">
        <v>260</v>
      </c>
      <c r="B41" s="7" t="s">
        <v>261</v>
      </c>
      <c r="C41" s="7" t="s">
        <v>262</v>
      </c>
      <c r="D41" s="7" t="s">
        <v>263</v>
      </c>
      <c r="E41" s="7" t="s">
        <v>264</v>
      </c>
      <c r="F41" s="7" t="s">
        <v>265</v>
      </c>
      <c r="G41" s="7"/>
      <c r="H41" s="7"/>
      <c r="I41" s="7"/>
      <c r="J41" s="7"/>
      <c r="K41" s="8"/>
      <c r="L41" s="8"/>
      <c r="M41" s="8"/>
      <c r="N41" s="8"/>
      <c r="O41" s="8"/>
      <c r="P41" s="8"/>
      <c r="Q41" s="8"/>
      <c r="R41" s="8"/>
      <c r="S41" s="8"/>
      <c r="T41" s="8"/>
      <c r="U41" s="8"/>
      <c r="V41" s="8"/>
      <c r="W41" s="8"/>
      <c r="X41" s="8"/>
      <c r="Y41" s="8"/>
      <c r="Z41" s="8"/>
      <c r="AA41" s="8"/>
      <c r="AB41" s="9" t="str">
        <f t="shared" si="6"/>
        <v/>
      </c>
      <c r="AC41" s="9" t="str">
        <f t="shared" si="7"/>
        <v>없음</v>
      </c>
      <c r="AD41" s="9" t="str">
        <f t="shared" si="8"/>
        <v/>
      </c>
      <c r="AE41" s="9" t="str">
        <f t="shared" si="9"/>
        <v>없음</v>
      </c>
      <c r="AF41" s="9" t="str">
        <f t="shared" si="10"/>
        <v/>
      </c>
      <c r="AG41" s="9" t="str">
        <f t="shared" si="11"/>
        <v>N</v>
      </c>
    </row>
    <row r="42" spans="1:33" ht="110" customHeight="1">
      <c r="A42" s="7" t="s">
        <v>266</v>
      </c>
      <c r="B42" s="7" t="s">
        <v>267</v>
      </c>
      <c r="C42" s="7" t="s">
        <v>268</v>
      </c>
      <c r="D42" s="7" t="s">
        <v>269</v>
      </c>
      <c r="E42" s="7" t="s">
        <v>270</v>
      </c>
      <c r="F42" s="7" t="s">
        <v>271</v>
      </c>
      <c r="G42" s="7"/>
      <c r="H42" s="7"/>
      <c r="I42" s="7"/>
      <c r="J42" s="7"/>
      <c r="K42" s="8"/>
      <c r="L42" s="8"/>
      <c r="M42" s="8"/>
      <c r="N42" s="8"/>
      <c r="O42" s="8"/>
      <c r="P42" s="8"/>
      <c r="Q42" s="8"/>
      <c r="R42" s="8"/>
      <c r="S42" s="8"/>
      <c r="T42" s="8"/>
      <c r="U42" s="8"/>
      <c r="V42" s="8"/>
      <c r="W42" s="8"/>
      <c r="X42" s="8"/>
      <c r="Y42" s="8"/>
      <c r="Z42" s="8"/>
      <c r="AA42" s="8"/>
      <c r="AB42" s="9" t="str">
        <f t="shared" si="6"/>
        <v/>
      </c>
      <c r="AC42" s="9" t="str">
        <f t="shared" si="7"/>
        <v>없음</v>
      </c>
      <c r="AD42" s="9" t="str">
        <f t="shared" si="8"/>
        <v/>
      </c>
      <c r="AE42" s="9" t="str">
        <f t="shared" si="9"/>
        <v>없음</v>
      </c>
      <c r="AF42" s="9" t="str">
        <f t="shared" si="10"/>
        <v/>
      </c>
      <c r="AG42" s="9" t="str">
        <f t="shared" si="11"/>
        <v>N</v>
      </c>
    </row>
    <row r="43" spans="1:33" ht="110" customHeight="1">
      <c r="A43" s="7" t="s">
        <v>272</v>
      </c>
      <c r="B43" s="7" t="s">
        <v>273</v>
      </c>
      <c r="C43" s="7" t="s">
        <v>274</v>
      </c>
      <c r="D43" s="7" t="s">
        <v>275</v>
      </c>
      <c r="E43" s="7" t="s">
        <v>276</v>
      </c>
      <c r="F43" s="7" t="s">
        <v>277</v>
      </c>
      <c r="G43" s="7" t="s">
        <v>278</v>
      </c>
      <c r="H43" s="7"/>
      <c r="I43" s="7"/>
      <c r="J43" s="7"/>
      <c r="K43" s="8"/>
      <c r="L43" s="8"/>
      <c r="M43" s="8"/>
      <c r="N43" s="8"/>
      <c r="O43" s="8"/>
      <c r="P43" s="8"/>
      <c r="Q43" s="8"/>
      <c r="R43" s="8"/>
      <c r="S43" s="8"/>
      <c r="T43" s="8"/>
      <c r="U43" s="8"/>
      <c r="V43" s="8"/>
      <c r="W43" s="8"/>
      <c r="X43" s="8"/>
      <c r="Y43" s="8"/>
      <c r="Z43" s="8"/>
      <c r="AA43" s="8"/>
      <c r="AB43" s="9" t="str">
        <f t="shared" si="6"/>
        <v/>
      </c>
      <c r="AC43" s="9" t="str">
        <f t="shared" si="7"/>
        <v>없음</v>
      </c>
      <c r="AD43" s="9" t="str">
        <f t="shared" si="8"/>
        <v/>
      </c>
      <c r="AE43" s="9" t="str">
        <f t="shared" si="9"/>
        <v>없음</v>
      </c>
      <c r="AF43" s="9" t="str">
        <f t="shared" si="10"/>
        <v/>
      </c>
      <c r="AG43" s="9" t="str">
        <f t="shared" si="11"/>
        <v>N</v>
      </c>
    </row>
    <row r="44" spans="1:33" ht="110" customHeight="1">
      <c r="A44" s="7" t="s">
        <v>279</v>
      </c>
      <c r="B44" s="7" t="s">
        <v>280</v>
      </c>
      <c r="C44" s="7" t="s">
        <v>281</v>
      </c>
      <c r="D44" s="7" t="s">
        <v>282</v>
      </c>
      <c r="E44" s="7" t="s">
        <v>283</v>
      </c>
      <c r="F44" s="7"/>
      <c r="G44" s="7"/>
      <c r="H44" s="7"/>
      <c r="I44" s="7"/>
      <c r="J44" s="7"/>
      <c r="K44" s="8"/>
      <c r="L44" s="8"/>
      <c r="M44" s="8"/>
      <c r="N44" s="8"/>
      <c r="O44" s="8"/>
      <c r="P44" s="8"/>
      <c r="Q44" s="8"/>
      <c r="R44" s="8"/>
      <c r="S44" s="8"/>
      <c r="T44" s="8"/>
      <c r="U44" s="8"/>
      <c r="V44" s="8"/>
      <c r="W44" s="8"/>
      <c r="X44" s="8"/>
      <c r="Y44" s="8"/>
      <c r="Z44" s="8"/>
      <c r="AA44" s="8"/>
      <c r="AB44" s="9" t="str">
        <f t="shared" si="6"/>
        <v/>
      </c>
      <c r="AC44" s="9" t="str">
        <f t="shared" si="7"/>
        <v>없음</v>
      </c>
      <c r="AD44" s="9" t="str">
        <f t="shared" si="8"/>
        <v/>
      </c>
      <c r="AE44" s="9" t="str">
        <f t="shared" si="9"/>
        <v>없음</v>
      </c>
      <c r="AF44" s="9" t="str">
        <f t="shared" si="10"/>
        <v/>
      </c>
      <c r="AG44" s="9" t="str">
        <f t="shared" si="11"/>
        <v>N</v>
      </c>
    </row>
    <row r="45" spans="1:33" ht="110" customHeight="1">
      <c r="A45" s="7" t="s">
        <v>284</v>
      </c>
      <c r="B45" s="7" t="s">
        <v>285</v>
      </c>
      <c r="C45" s="7" t="s">
        <v>286</v>
      </c>
      <c r="D45" s="7" t="s">
        <v>287</v>
      </c>
      <c r="E45" s="7" t="s">
        <v>288</v>
      </c>
      <c r="F45" s="7" t="s">
        <v>289</v>
      </c>
      <c r="G45" s="7"/>
      <c r="H45" s="7"/>
      <c r="I45" s="7"/>
      <c r="J45" s="7"/>
      <c r="K45" s="8"/>
      <c r="L45" s="8"/>
      <c r="M45" s="8"/>
      <c r="N45" s="8"/>
      <c r="O45" s="8"/>
      <c r="P45" s="8"/>
      <c r="Q45" s="8"/>
      <c r="R45" s="8"/>
      <c r="S45" s="8"/>
      <c r="T45" s="8"/>
      <c r="U45" s="8"/>
      <c r="V45" s="8"/>
      <c r="W45" s="8"/>
      <c r="X45" s="8"/>
      <c r="Y45" s="8"/>
      <c r="Z45" s="8"/>
      <c r="AA45" s="8"/>
      <c r="AB45" s="9" t="str">
        <f t="shared" si="6"/>
        <v/>
      </c>
      <c r="AC45" s="9" t="str">
        <f t="shared" si="7"/>
        <v>없음</v>
      </c>
      <c r="AD45" s="9" t="str">
        <f t="shared" si="8"/>
        <v/>
      </c>
      <c r="AE45" s="9" t="str">
        <f t="shared" si="9"/>
        <v>없음</v>
      </c>
      <c r="AF45" s="9" t="str">
        <f t="shared" si="10"/>
        <v/>
      </c>
      <c r="AG45" s="9" t="str">
        <f t="shared" si="11"/>
        <v>N</v>
      </c>
    </row>
    <row r="46" spans="1:33" ht="110" customHeight="1">
      <c r="A46" s="7" t="s">
        <v>290</v>
      </c>
      <c r="B46" s="7" t="s">
        <v>291</v>
      </c>
      <c r="C46" s="7" t="s">
        <v>292</v>
      </c>
      <c r="D46" s="7" t="s">
        <v>293</v>
      </c>
      <c r="E46" s="7" t="s">
        <v>294</v>
      </c>
      <c r="F46" s="7" t="s">
        <v>295</v>
      </c>
      <c r="G46" s="7"/>
      <c r="H46" s="7"/>
      <c r="I46" s="7"/>
      <c r="J46" s="7"/>
      <c r="K46" s="8"/>
      <c r="L46" s="8"/>
      <c r="M46" s="8"/>
      <c r="N46" s="8"/>
      <c r="O46" s="8"/>
      <c r="P46" s="8"/>
      <c r="Q46" s="8"/>
      <c r="R46" s="8"/>
      <c r="S46" s="8"/>
      <c r="T46" s="8"/>
      <c r="U46" s="8"/>
      <c r="V46" s="8"/>
      <c r="W46" s="8"/>
      <c r="X46" s="8"/>
      <c r="Y46" s="8"/>
      <c r="Z46" s="8"/>
      <c r="AA46" s="8"/>
      <c r="AB46" s="9" t="str">
        <f t="shared" si="6"/>
        <v/>
      </c>
      <c r="AC46" s="9" t="str">
        <f t="shared" si="7"/>
        <v>없음</v>
      </c>
      <c r="AD46" s="9" t="str">
        <f t="shared" si="8"/>
        <v/>
      </c>
      <c r="AE46" s="9" t="str">
        <f t="shared" si="9"/>
        <v>없음</v>
      </c>
      <c r="AF46" s="9" t="str">
        <f t="shared" si="10"/>
        <v/>
      </c>
      <c r="AG46" s="9" t="str">
        <f t="shared" si="11"/>
        <v>N</v>
      </c>
    </row>
    <row r="47" spans="1:33" ht="110" customHeight="1">
      <c r="A47" s="7" t="s">
        <v>296</v>
      </c>
      <c r="B47" s="7" t="s">
        <v>297</v>
      </c>
      <c r="C47" s="7" t="s">
        <v>298</v>
      </c>
      <c r="D47" s="7" t="s">
        <v>299</v>
      </c>
      <c r="E47" s="7" t="s">
        <v>300</v>
      </c>
      <c r="F47" s="7" t="s">
        <v>301</v>
      </c>
      <c r="G47" s="7"/>
      <c r="H47" s="7"/>
      <c r="I47" s="7"/>
      <c r="J47" s="7"/>
      <c r="K47" s="8"/>
      <c r="L47" s="8"/>
      <c r="M47" s="8"/>
      <c r="N47" s="8"/>
      <c r="O47" s="8"/>
      <c r="P47" s="8"/>
      <c r="Q47" s="8"/>
      <c r="R47" s="8"/>
      <c r="S47" s="8"/>
      <c r="T47" s="8"/>
      <c r="U47" s="8"/>
      <c r="V47" s="8"/>
      <c r="W47" s="8"/>
      <c r="X47" s="8"/>
      <c r="Y47" s="8"/>
      <c r="Z47" s="8"/>
      <c r="AA47" s="8"/>
      <c r="AB47" s="9" t="str">
        <f t="shared" si="6"/>
        <v/>
      </c>
      <c r="AC47" s="9" t="str">
        <f t="shared" si="7"/>
        <v>없음</v>
      </c>
      <c r="AD47" s="9" t="str">
        <f t="shared" si="8"/>
        <v/>
      </c>
      <c r="AE47" s="9" t="str">
        <f t="shared" si="9"/>
        <v>없음</v>
      </c>
      <c r="AF47" s="9" t="str">
        <f t="shared" si="10"/>
        <v/>
      </c>
      <c r="AG47" s="9" t="str">
        <f t="shared" si="11"/>
        <v>N</v>
      </c>
    </row>
    <row r="48" spans="1:33" ht="110" customHeight="1">
      <c r="A48" s="7" t="s">
        <v>302</v>
      </c>
      <c r="B48" s="7" t="s">
        <v>303</v>
      </c>
      <c r="C48" s="7" t="s">
        <v>304</v>
      </c>
      <c r="D48" s="7" t="s">
        <v>305</v>
      </c>
      <c r="E48" s="7" t="s">
        <v>306</v>
      </c>
      <c r="F48" s="7"/>
      <c r="G48" s="7"/>
      <c r="H48" s="7"/>
      <c r="I48" s="7"/>
      <c r="J48" s="7"/>
      <c r="K48" s="8"/>
      <c r="L48" s="8"/>
      <c r="M48" s="8"/>
      <c r="N48" s="8"/>
      <c r="O48" s="8"/>
      <c r="P48" s="8"/>
      <c r="Q48" s="8"/>
      <c r="R48" s="8"/>
      <c r="S48" s="8"/>
      <c r="T48" s="8"/>
      <c r="U48" s="8"/>
      <c r="V48" s="8"/>
      <c r="W48" s="8"/>
      <c r="X48" s="8"/>
      <c r="Y48" s="8"/>
      <c r="Z48" s="8"/>
      <c r="AA48" s="8"/>
      <c r="AB48" s="9" t="str">
        <f t="shared" si="6"/>
        <v/>
      </c>
      <c r="AC48" s="9" t="str">
        <f t="shared" si="7"/>
        <v>없음</v>
      </c>
      <c r="AD48" s="9" t="str">
        <f t="shared" si="8"/>
        <v/>
      </c>
      <c r="AE48" s="9" t="str">
        <f t="shared" si="9"/>
        <v>없음</v>
      </c>
      <c r="AF48" s="9" t="str">
        <f t="shared" si="10"/>
        <v/>
      </c>
      <c r="AG48" s="9" t="str">
        <f t="shared" si="11"/>
        <v>N</v>
      </c>
    </row>
    <row r="49" spans="1:33" ht="110" customHeight="1">
      <c r="A49" s="7" t="s">
        <v>307</v>
      </c>
      <c r="B49" s="7" t="s">
        <v>308</v>
      </c>
      <c r="C49" s="7" t="s">
        <v>309</v>
      </c>
      <c r="D49" s="7" t="s">
        <v>310</v>
      </c>
      <c r="E49" s="7" t="s">
        <v>311</v>
      </c>
      <c r="F49" s="7"/>
      <c r="G49" s="7"/>
      <c r="H49" s="7"/>
      <c r="I49" s="7"/>
      <c r="J49" s="7"/>
      <c r="K49" s="8"/>
      <c r="L49" s="8"/>
      <c r="M49" s="8"/>
      <c r="N49" s="8"/>
      <c r="O49" s="8"/>
      <c r="P49" s="8"/>
      <c r="Q49" s="8"/>
      <c r="R49" s="8"/>
      <c r="S49" s="8"/>
      <c r="T49" s="8"/>
      <c r="U49" s="8"/>
      <c r="V49" s="8"/>
      <c r="W49" s="8"/>
      <c r="X49" s="8"/>
      <c r="Y49" s="8"/>
      <c r="Z49" s="8"/>
      <c r="AA49" s="8"/>
      <c r="AB49" s="9" t="str">
        <f t="shared" si="6"/>
        <v/>
      </c>
      <c r="AC49" s="9" t="str">
        <f t="shared" si="7"/>
        <v>없음</v>
      </c>
      <c r="AD49" s="9" t="str">
        <f t="shared" si="8"/>
        <v/>
      </c>
      <c r="AE49" s="9" t="str">
        <f t="shared" si="9"/>
        <v>없음</v>
      </c>
      <c r="AF49" s="9" t="str">
        <f t="shared" si="10"/>
        <v/>
      </c>
      <c r="AG49" s="9" t="str">
        <f t="shared" si="11"/>
        <v>N</v>
      </c>
    </row>
    <row r="50" spans="1:33" ht="110" customHeight="1">
      <c r="A50" s="7" t="s">
        <v>312</v>
      </c>
      <c r="B50" s="7" t="s">
        <v>313</v>
      </c>
      <c r="C50" s="7" t="s">
        <v>314</v>
      </c>
      <c r="D50" s="7" t="s">
        <v>315</v>
      </c>
      <c r="E50" s="7" t="s">
        <v>316</v>
      </c>
      <c r="F50" s="7" t="s">
        <v>317</v>
      </c>
      <c r="G50" s="7"/>
      <c r="H50" s="7"/>
      <c r="I50" s="7"/>
      <c r="J50" s="7"/>
      <c r="K50" s="8"/>
      <c r="L50" s="8"/>
      <c r="M50" s="8"/>
      <c r="N50" s="8"/>
      <c r="O50" s="8"/>
      <c r="P50" s="8"/>
      <c r="Q50" s="8"/>
      <c r="R50" s="8"/>
      <c r="S50" s="8"/>
      <c r="T50" s="8"/>
      <c r="U50" s="8"/>
      <c r="V50" s="8"/>
      <c r="W50" s="8"/>
      <c r="X50" s="8"/>
      <c r="Y50" s="8"/>
      <c r="Z50" s="8"/>
      <c r="AA50" s="8"/>
      <c r="AB50" s="9" t="str">
        <f t="shared" si="6"/>
        <v/>
      </c>
      <c r="AC50" s="9" t="str">
        <f t="shared" si="7"/>
        <v>없음</v>
      </c>
      <c r="AD50" s="9" t="str">
        <f t="shared" si="8"/>
        <v/>
      </c>
      <c r="AE50" s="9" t="str">
        <f t="shared" si="9"/>
        <v>없음</v>
      </c>
      <c r="AF50" s="9" t="str">
        <f t="shared" si="10"/>
        <v/>
      </c>
      <c r="AG50" s="9" t="str">
        <f t="shared" si="11"/>
        <v>N</v>
      </c>
    </row>
    <row r="51" spans="1:33" ht="110" customHeight="1">
      <c r="A51" s="7" t="s">
        <v>318</v>
      </c>
      <c r="B51" s="7" t="s">
        <v>319</v>
      </c>
      <c r="C51" s="7" t="s">
        <v>320</v>
      </c>
      <c r="D51" s="7" t="s">
        <v>321</v>
      </c>
      <c r="E51" s="7" t="s">
        <v>322</v>
      </c>
      <c r="F51" s="7"/>
      <c r="G51" s="7"/>
      <c r="H51" s="7"/>
      <c r="I51" s="7"/>
      <c r="J51" s="7"/>
      <c r="K51" s="8"/>
      <c r="L51" s="8"/>
      <c r="M51" s="8"/>
      <c r="N51" s="8"/>
      <c r="O51" s="8"/>
      <c r="P51" s="8"/>
      <c r="Q51" s="8"/>
      <c r="R51" s="8"/>
      <c r="S51" s="8"/>
      <c r="T51" s="8"/>
      <c r="U51" s="8"/>
      <c r="V51" s="8"/>
      <c r="W51" s="8"/>
      <c r="X51" s="8"/>
      <c r="Y51" s="8"/>
      <c r="Z51" s="8"/>
      <c r="AA51" s="8"/>
      <c r="AB51" s="9" t="str">
        <f t="shared" si="6"/>
        <v/>
      </c>
      <c r="AC51" s="9" t="str">
        <f t="shared" si="7"/>
        <v>없음</v>
      </c>
      <c r="AD51" s="9" t="str">
        <f t="shared" si="8"/>
        <v/>
      </c>
      <c r="AE51" s="9" t="str">
        <f t="shared" si="9"/>
        <v>없음</v>
      </c>
      <c r="AF51" s="9" t="str">
        <f t="shared" si="10"/>
        <v/>
      </c>
      <c r="AG51" s="9" t="str">
        <f t="shared" si="11"/>
        <v>N</v>
      </c>
    </row>
    <row r="52" spans="1:33" ht="110" customHeight="1">
      <c r="A52" s="7" t="s">
        <v>323</v>
      </c>
      <c r="B52" s="7" t="s">
        <v>324</v>
      </c>
      <c r="C52" s="7" t="s">
        <v>325</v>
      </c>
      <c r="D52" s="7" t="s">
        <v>326</v>
      </c>
      <c r="E52" s="7" t="s">
        <v>327</v>
      </c>
      <c r="F52" s="7"/>
      <c r="G52" s="7"/>
      <c r="H52" s="7"/>
      <c r="I52" s="7"/>
      <c r="J52" s="7"/>
      <c r="K52" s="8"/>
      <c r="L52" s="8"/>
      <c r="M52" s="8"/>
      <c r="N52" s="8"/>
      <c r="O52" s="8"/>
      <c r="P52" s="8"/>
      <c r="Q52" s="8"/>
      <c r="R52" s="8"/>
      <c r="S52" s="8"/>
      <c r="T52" s="8"/>
      <c r="U52" s="8"/>
      <c r="V52" s="8"/>
      <c r="W52" s="8"/>
      <c r="X52" s="8"/>
      <c r="Y52" s="8"/>
      <c r="Z52" s="8"/>
      <c r="AA52" s="8"/>
      <c r="AB52" s="9" t="str">
        <f t="shared" si="6"/>
        <v/>
      </c>
      <c r="AC52" s="9" t="str">
        <f t="shared" si="7"/>
        <v>없음</v>
      </c>
      <c r="AD52" s="9" t="str">
        <f t="shared" si="8"/>
        <v/>
      </c>
      <c r="AE52" s="9" t="str">
        <f t="shared" si="9"/>
        <v>없음</v>
      </c>
      <c r="AF52" s="9" t="str">
        <f t="shared" si="10"/>
        <v/>
      </c>
      <c r="AG52" s="9" t="str">
        <f t="shared" si="11"/>
        <v>N</v>
      </c>
    </row>
    <row r="53" spans="1:33" ht="110" customHeight="1">
      <c r="A53" s="7" t="s">
        <v>328</v>
      </c>
      <c r="B53" s="7" t="s">
        <v>329</v>
      </c>
      <c r="C53" s="7" t="s">
        <v>325</v>
      </c>
      <c r="D53" s="7" t="s">
        <v>326</v>
      </c>
      <c r="E53" s="7" t="s">
        <v>330</v>
      </c>
      <c r="F53" s="7" t="s">
        <v>331</v>
      </c>
      <c r="G53" s="7"/>
      <c r="H53" s="7"/>
      <c r="I53" s="7"/>
      <c r="J53" s="7"/>
      <c r="K53" s="8"/>
      <c r="L53" s="8"/>
      <c r="M53" s="8"/>
      <c r="N53" s="8"/>
      <c r="O53" s="8"/>
      <c r="P53" s="8"/>
      <c r="Q53" s="8"/>
      <c r="R53" s="8"/>
      <c r="S53" s="8"/>
      <c r="T53" s="8"/>
      <c r="U53" s="8"/>
      <c r="V53" s="8"/>
      <c r="W53" s="8"/>
      <c r="X53" s="8"/>
      <c r="Y53" s="8"/>
      <c r="Z53" s="8"/>
      <c r="AA53" s="8"/>
      <c r="AB53" s="9" t="str">
        <f t="shared" si="6"/>
        <v/>
      </c>
      <c r="AC53" s="9" t="str">
        <f t="shared" si="7"/>
        <v>없음</v>
      </c>
      <c r="AD53" s="9" t="str">
        <f t="shared" si="8"/>
        <v/>
      </c>
      <c r="AE53" s="9" t="str">
        <f t="shared" si="9"/>
        <v>없음</v>
      </c>
      <c r="AF53" s="9" t="str">
        <f t="shared" si="10"/>
        <v/>
      </c>
      <c r="AG53" s="9" t="str">
        <f t="shared" si="11"/>
        <v>N</v>
      </c>
    </row>
    <row r="54" spans="1:33" ht="110" customHeight="1">
      <c r="A54" s="7" t="s">
        <v>332</v>
      </c>
      <c r="B54" s="7" t="s">
        <v>333</v>
      </c>
      <c r="C54" s="7" t="s">
        <v>334</v>
      </c>
      <c r="D54" s="7" t="s">
        <v>335</v>
      </c>
      <c r="E54" s="7" t="s">
        <v>336</v>
      </c>
      <c r="F54" s="7" t="s">
        <v>337</v>
      </c>
      <c r="G54" s="7"/>
      <c r="H54" s="7"/>
      <c r="I54" s="7"/>
      <c r="J54" s="7"/>
      <c r="K54" s="8"/>
      <c r="L54" s="8"/>
      <c r="M54" s="8"/>
      <c r="N54" s="8"/>
      <c r="O54" s="8"/>
      <c r="P54" s="8"/>
      <c r="Q54" s="8"/>
      <c r="R54" s="8"/>
      <c r="S54" s="8"/>
      <c r="T54" s="8"/>
      <c r="U54" s="8"/>
      <c r="V54" s="8"/>
      <c r="W54" s="8"/>
      <c r="X54" s="8"/>
      <c r="Y54" s="8"/>
      <c r="Z54" s="8"/>
      <c r="AA54" s="8"/>
      <c r="AB54" s="9" t="str">
        <f t="shared" si="6"/>
        <v/>
      </c>
      <c r="AC54" s="9" t="str">
        <f t="shared" si="7"/>
        <v>없음</v>
      </c>
      <c r="AD54" s="9" t="str">
        <f t="shared" si="8"/>
        <v/>
      </c>
      <c r="AE54" s="9" t="str">
        <f t="shared" si="9"/>
        <v>없음</v>
      </c>
      <c r="AF54" s="9" t="str">
        <f t="shared" si="10"/>
        <v/>
      </c>
      <c r="AG54" s="9" t="str">
        <f t="shared" si="11"/>
        <v>N</v>
      </c>
    </row>
    <row r="55" spans="1:33" ht="110" customHeight="1">
      <c r="A55" s="7" t="s">
        <v>338</v>
      </c>
      <c r="B55" s="7" t="s">
        <v>339</v>
      </c>
      <c r="C55" s="7" t="s">
        <v>334</v>
      </c>
      <c r="D55" s="7" t="s">
        <v>335</v>
      </c>
      <c r="E55" s="7" t="s">
        <v>340</v>
      </c>
      <c r="F55" s="7" t="s">
        <v>341</v>
      </c>
      <c r="G55" s="7" t="s">
        <v>342</v>
      </c>
      <c r="H55" s="7"/>
      <c r="I55" s="7"/>
      <c r="J55" s="7"/>
      <c r="K55" s="8"/>
      <c r="L55" s="8"/>
      <c r="M55" s="8"/>
      <c r="N55" s="8"/>
      <c r="O55" s="8"/>
      <c r="P55" s="8"/>
      <c r="Q55" s="8"/>
      <c r="R55" s="8"/>
      <c r="S55" s="8"/>
      <c r="T55" s="8"/>
      <c r="U55" s="8"/>
      <c r="V55" s="8"/>
      <c r="W55" s="8"/>
      <c r="X55" s="8"/>
      <c r="Y55" s="8"/>
      <c r="Z55" s="8"/>
      <c r="AA55" s="8"/>
      <c r="AB55" s="9" t="str">
        <f t="shared" si="6"/>
        <v/>
      </c>
      <c r="AC55" s="9" t="str">
        <f t="shared" si="7"/>
        <v>없음</v>
      </c>
      <c r="AD55" s="9" t="str">
        <f t="shared" si="8"/>
        <v/>
      </c>
      <c r="AE55" s="9" t="str">
        <f t="shared" si="9"/>
        <v>없음</v>
      </c>
      <c r="AF55" s="9" t="str">
        <f t="shared" si="10"/>
        <v/>
      </c>
      <c r="AG55" s="9" t="str">
        <f t="shared" si="11"/>
        <v>N</v>
      </c>
    </row>
    <row r="56" spans="1:33" ht="110" customHeight="1">
      <c r="A56" s="7" t="s">
        <v>343</v>
      </c>
      <c r="B56" s="7" t="s">
        <v>344</v>
      </c>
      <c r="C56" s="7" t="s">
        <v>345</v>
      </c>
      <c r="D56" s="7" t="s">
        <v>346</v>
      </c>
      <c r="E56" s="7" t="s">
        <v>347</v>
      </c>
      <c r="F56" s="7"/>
      <c r="G56" s="7"/>
      <c r="H56" s="7"/>
      <c r="I56" s="7"/>
      <c r="J56" s="7"/>
      <c r="K56" s="8"/>
      <c r="L56" s="8"/>
      <c r="M56" s="8"/>
      <c r="N56" s="8"/>
      <c r="O56" s="8"/>
      <c r="P56" s="8"/>
      <c r="Q56" s="8"/>
      <c r="R56" s="8"/>
      <c r="S56" s="8"/>
      <c r="T56" s="8"/>
      <c r="U56" s="8"/>
      <c r="V56" s="8"/>
      <c r="W56" s="8"/>
      <c r="X56" s="8"/>
      <c r="Y56" s="8"/>
      <c r="Z56" s="8"/>
      <c r="AA56" s="8"/>
      <c r="AB56" s="9" t="str">
        <f t="shared" si="6"/>
        <v/>
      </c>
      <c r="AC56" s="9" t="str">
        <f t="shared" si="7"/>
        <v>없음</v>
      </c>
      <c r="AD56" s="9" t="str">
        <f t="shared" si="8"/>
        <v/>
      </c>
      <c r="AE56" s="9" t="str">
        <f t="shared" si="9"/>
        <v>없음</v>
      </c>
      <c r="AF56" s="9" t="str">
        <f t="shared" si="10"/>
        <v/>
      </c>
      <c r="AG56" s="9" t="str">
        <f t="shared" si="11"/>
        <v>N</v>
      </c>
    </row>
    <row r="57" spans="1:33" ht="110" customHeight="1">
      <c r="A57" s="7" t="s">
        <v>348</v>
      </c>
      <c r="B57" s="7" t="s">
        <v>349</v>
      </c>
      <c r="C57" s="7" t="s">
        <v>350</v>
      </c>
      <c r="D57" s="7" t="s">
        <v>351</v>
      </c>
      <c r="E57" s="7" t="s">
        <v>352</v>
      </c>
      <c r="F57" s="7"/>
      <c r="G57" s="7"/>
      <c r="H57" s="7"/>
      <c r="I57" s="7"/>
      <c r="J57" s="7"/>
      <c r="K57" s="8"/>
      <c r="L57" s="8"/>
      <c r="M57" s="8"/>
      <c r="N57" s="8"/>
      <c r="O57" s="8"/>
      <c r="P57" s="8"/>
      <c r="Q57" s="8"/>
      <c r="R57" s="8"/>
      <c r="S57" s="8"/>
      <c r="T57" s="8"/>
      <c r="U57" s="8"/>
      <c r="V57" s="8"/>
      <c r="W57" s="8"/>
      <c r="X57" s="8"/>
      <c r="Y57" s="8"/>
      <c r="Z57" s="8"/>
      <c r="AA57" s="8"/>
      <c r="AB57" s="9" t="str">
        <f t="shared" si="6"/>
        <v/>
      </c>
      <c r="AC57" s="9" t="str">
        <f t="shared" si="7"/>
        <v>없음</v>
      </c>
      <c r="AD57" s="9" t="str">
        <f t="shared" si="8"/>
        <v/>
      </c>
      <c r="AE57" s="9" t="str">
        <f t="shared" si="9"/>
        <v>없음</v>
      </c>
      <c r="AF57" s="9" t="str">
        <f t="shared" si="10"/>
        <v/>
      </c>
      <c r="AG57" s="9" t="str">
        <f t="shared" si="11"/>
        <v>N</v>
      </c>
    </row>
    <row r="58" spans="1:33" ht="110" customHeight="1">
      <c r="A58" s="7" t="s">
        <v>353</v>
      </c>
      <c r="B58" s="7" t="s">
        <v>354</v>
      </c>
      <c r="C58" s="7" t="s">
        <v>355</v>
      </c>
      <c r="D58" s="7" t="s">
        <v>356</v>
      </c>
      <c r="E58" s="7" t="s">
        <v>357</v>
      </c>
      <c r="F58" s="7"/>
      <c r="G58" s="7"/>
      <c r="H58" s="7"/>
      <c r="I58" s="7"/>
      <c r="J58" s="7"/>
      <c r="K58" s="8"/>
      <c r="L58" s="8"/>
      <c r="M58" s="8"/>
      <c r="N58" s="8"/>
      <c r="O58" s="8"/>
      <c r="P58" s="8"/>
      <c r="Q58" s="8"/>
      <c r="R58" s="8"/>
      <c r="S58" s="8"/>
      <c r="T58" s="8"/>
      <c r="U58" s="8"/>
      <c r="V58" s="8"/>
      <c r="W58" s="8"/>
      <c r="X58" s="8"/>
      <c r="Y58" s="8"/>
      <c r="Z58" s="8"/>
      <c r="AA58" s="8"/>
      <c r="AB58" s="9" t="str">
        <f t="shared" si="6"/>
        <v/>
      </c>
      <c r="AC58" s="9" t="str">
        <f t="shared" si="7"/>
        <v>없음</v>
      </c>
      <c r="AD58" s="9" t="str">
        <f t="shared" si="8"/>
        <v/>
      </c>
      <c r="AE58" s="9" t="str">
        <f t="shared" si="9"/>
        <v>없음</v>
      </c>
      <c r="AF58" s="9" t="str">
        <f t="shared" si="10"/>
        <v/>
      </c>
      <c r="AG58" s="9" t="str">
        <f t="shared" si="11"/>
        <v>N</v>
      </c>
    </row>
    <row r="59" spans="1:33" ht="110" customHeight="1">
      <c r="A59" s="7" t="s">
        <v>358</v>
      </c>
      <c r="B59" s="7" t="s">
        <v>359</v>
      </c>
      <c r="C59" s="7" t="s">
        <v>360</v>
      </c>
      <c r="D59" s="7" t="s">
        <v>361</v>
      </c>
      <c r="E59" s="7" t="s">
        <v>362</v>
      </c>
      <c r="F59" s="7" t="s">
        <v>363</v>
      </c>
      <c r="G59" s="7" t="s">
        <v>364</v>
      </c>
      <c r="H59" s="7"/>
      <c r="I59" s="7"/>
      <c r="J59" s="7"/>
      <c r="K59" s="8"/>
      <c r="L59" s="8"/>
      <c r="M59" s="8"/>
      <c r="N59" s="8"/>
      <c r="O59" s="8"/>
      <c r="P59" s="8"/>
      <c r="Q59" s="8"/>
      <c r="R59" s="8"/>
      <c r="S59" s="8"/>
      <c r="T59" s="8"/>
      <c r="U59" s="8"/>
      <c r="V59" s="8"/>
      <c r="W59" s="8"/>
      <c r="X59" s="8"/>
      <c r="Y59" s="8"/>
      <c r="Z59" s="8"/>
      <c r="AA59" s="8"/>
      <c r="AB59" s="9" t="str">
        <f t="shared" si="6"/>
        <v/>
      </c>
      <c r="AC59" s="9" t="str">
        <f t="shared" si="7"/>
        <v>없음</v>
      </c>
      <c r="AD59" s="9" t="str">
        <f t="shared" si="8"/>
        <v/>
      </c>
      <c r="AE59" s="9" t="str">
        <f t="shared" si="9"/>
        <v>없음</v>
      </c>
      <c r="AF59" s="9" t="str">
        <f t="shared" si="10"/>
        <v/>
      </c>
      <c r="AG59" s="9" t="str">
        <f t="shared" si="11"/>
        <v>N</v>
      </c>
    </row>
    <row r="60" spans="1:33" ht="110" customHeight="1">
      <c r="A60" s="7" t="s">
        <v>365</v>
      </c>
      <c r="B60" s="7" t="s">
        <v>366</v>
      </c>
      <c r="C60" s="7" t="s">
        <v>367</v>
      </c>
      <c r="D60" s="7" t="s">
        <v>368</v>
      </c>
      <c r="E60" s="7" t="s">
        <v>369</v>
      </c>
      <c r="F60" s="7" t="s">
        <v>370</v>
      </c>
      <c r="G60" s="7" t="s">
        <v>371</v>
      </c>
      <c r="H60" s="7"/>
      <c r="I60" s="7"/>
      <c r="J60" s="7"/>
      <c r="K60" s="8"/>
      <c r="L60" s="8"/>
      <c r="M60" s="8"/>
      <c r="N60" s="8"/>
      <c r="O60" s="8"/>
      <c r="P60" s="8"/>
      <c r="Q60" s="8"/>
      <c r="R60" s="8"/>
      <c r="S60" s="8"/>
      <c r="T60" s="8"/>
      <c r="U60" s="8"/>
      <c r="V60" s="8"/>
      <c r="W60" s="8"/>
      <c r="X60" s="8"/>
      <c r="Y60" s="8"/>
      <c r="Z60" s="8"/>
      <c r="AA60" s="8"/>
      <c r="AB60" s="9" t="str">
        <f t="shared" si="6"/>
        <v/>
      </c>
      <c r="AC60" s="9" t="str">
        <f t="shared" si="7"/>
        <v>없음</v>
      </c>
      <c r="AD60" s="9" t="str">
        <f t="shared" si="8"/>
        <v/>
      </c>
      <c r="AE60" s="9" t="str">
        <f t="shared" si="9"/>
        <v>없음</v>
      </c>
      <c r="AF60" s="9" t="str">
        <f t="shared" si="10"/>
        <v/>
      </c>
      <c r="AG60" s="9" t="str">
        <f t="shared" si="11"/>
        <v>N</v>
      </c>
    </row>
    <row r="61" spans="1:33" ht="110" customHeight="1">
      <c r="A61" s="7" t="s">
        <v>372</v>
      </c>
      <c r="B61" s="7" t="s">
        <v>373</v>
      </c>
      <c r="C61" s="7" t="s">
        <v>374</v>
      </c>
      <c r="D61" s="7" t="s">
        <v>375</v>
      </c>
      <c r="E61" s="7" t="s">
        <v>376</v>
      </c>
      <c r="F61" s="7"/>
      <c r="G61" s="7"/>
      <c r="H61" s="7"/>
      <c r="I61" s="7"/>
      <c r="J61" s="7"/>
      <c r="K61" s="8"/>
      <c r="L61" s="8"/>
      <c r="M61" s="8"/>
      <c r="N61" s="8"/>
      <c r="O61" s="8"/>
      <c r="P61" s="8"/>
      <c r="Q61" s="8"/>
      <c r="R61" s="8"/>
      <c r="S61" s="8"/>
      <c r="T61" s="8"/>
      <c r="U61" s="8"/>
      <c r="V61" s="8"/>
      <c r="W61" s="8"/>
      <c r="X61" s="8"/>
      <c r="Y61" s="8"/>
      <c r="Z61" s="8"/>
      <c r="AA61" s="8"/>
      <c r="AB61" s="9" t="str">
        <f t="shared" si="6"/>
        <v/>
      </c>
      <c r="AC61" s="9" t="str">
        <f t="shared" si="7"/>
        <v>없음</v>
      </c>
      <c r="AD61" s="9" t="str">
        <f t="shared" si="8"/>
        <v/>
      </c>
      <c r="AE61" s="9" t="str">
        <f t="shared" si="9"/>
        <v>없음</v>
      </c>
      <c r="AF61" s="9" t="str">
        <f t="shared" si="10"/>
        <v/>
      </c>
      <c r="AG61" s="9" t="str">
        <f t="shared" si="11"/>
        <v>N</v>
      </c>
    </row>
    <row r="62" spans="1:33" ht="110" customHeight="1">
      <c r="A62" s="7" t="s">
        <v>377</v>
      </c>
      <c r="B62" s="7" t="s">
        <v>378</v>
      </c>
      <c r="C62" s="7" t="s">
        <v>379</v>
      </c>
      <c r="D62" s="7" t="s">
        <v>380</v>
      </c>
      <c r="E62" s="7" t="s">
        <v>381</v>
      </c>
      <c r="F62" s="7"/>
      <c r="G62" s="7"/>
      <c r="H62" s="7"/>
      <c r="I62" s="7"/>
      <c r="J62" s="7"/>
      <c r="K62" s="8"/>
      <c r="L62" s="8"/>
      <c r="M62" s="8"/>
      <c r="N62" s="8"/>
      <c r="O62" s="8"/>
      <c r="P62" s="8"/>
      <c r="Q62" s="8"/>
      <c r="R62" s="8"/>
      <c r="S62" s="8"/>
      <c r="T62" s="8"/>
      <c r="U62" s="8"/>
      <c r="V62" s="8"/>
      <c r="W62" s="8"/>
      <c r="X62" s="8"/>
      <c r="Y62" s="8"/>
      <c r="Z62" s="8"/>
      <c r="AA62" s="8"/>
      <c r="AB62" s="9" t="str">
        <f t="shared" si="6"/>
        <v/>
      </c>
      <c r="AC62" s="9" t="str">
        <f t="shared" si="7"/>
        <v>없음</v>
      </c>
      <c r="AD62" s="9" t="str">
        <f t="shared" si="8"/>
        <v/>
      </c>
      <c r="AE62" s="9" t="str">
        <f t="shared" si="9"/>
        <v>없음</v>
      </c>
      <c r="AF62" s="9" t="str">
        <f t="shared" si="10"/>
        <v/>
      </c>
      <c r="AG62" s="9" t="str">
        <f t="shared" si="11"/>
        <v>N</v>
      </c>
    </row>
    <row r="63" spans="1:33" ht="110" customHeight="1">
      <c r="A63" s="7" t="s">
        <v>382</v>
      </c>
      <c r="B63" s="7" t="s">
        <v>383</v>
      </c>
      <c r="C63" s="7" t="s">
        <v>384</v>
      </c>
      <c r="D63" s="7" t="s">
        <v>385</v>
      </c>
      <c r="E63" s="7" t="s">
        <v>386</v>
      </c>
      <c r="F63" s="7" t="s">
        <v>387</v>
      </c>
      <c r="G63" s="7" t="s">
        <v>388</v>
      </c>
      <c r="H63" s="7"/>
      <c r="I63" s="7" t="s">
        <v>386</v>
      </c>
      <c r="J63" s="7" t="s">
        <v>389</v>
      </c>
      <c r="K63" s="8"/>
      <c r="L63" s="8"/>
      <c r="M63" s="8"/>
      <c r="N63" s="8"/>
      <c r="O63" s="8"/>
      <c r="P63" s="8"/>
      <c r="Q63" s="8"/>
      <c r="R63" s="8"/>
      <c r="S63" s="8"/>
      <c r="T63" s="8"/>
      <c r="U63" s="8"/>
      <c r="V63" s="8"/>
      <c r="W63" s="8"/>
      <c r="X63" s="8"/>
      <c r="Y63" s="8"/>
      <c r="Z63" s="8"/>
      <c r="AA63" s="8"/>
      <c r="AB63" s="9" t="str">
        <f t="shared" si="6"/>
        <v/>
      </c>
      <c r="AC63" s="9" t="str">
        <f t="shared" si="7"/>
        <v>없음</v>
      </c>
      <c r="AD63" s="9" t="str">
        <f t="shared" si="8"/>
        <v/>
      </c>
      <c r="AE63" s="9" t="str">
        <f t="shared" si="9"/>
        <v>없음</v>
      </c>
      <c r="AF63" s="9" t="str">
        <f t="shared" si="10"/>
        <v/>
      </c>
      <c r="AG63" s="9" t="str">
        <f t="shared" si="11"/>
        <v>N</v>
      </c>
    </row>
    <row r="64" spans="1:33" ht="110" customHeight="1">
      <c r="A64" s="7" t="s">
        <v>390</v>
      </c>
      <c r="B64" s="7" t="s">
        <v>391</v>
      </c>
      <c r="C64" s="7" t="s">
        <v>392</v>
      </c>
      <c r="D64" s="7" t="s">
        <v>393</v>
      </c>
      <c r="E64" s="7" t="s">
        <v>394</v>
      </c>
      <c r="F64" s="7" t="s">
        <v>395</v>
      </c>
      <c r="G64" s="7"/>
      <c r="H64" s="7"/>
      <c r="I64" s="7"/>
      <c r="J64" s="7"/>
      <c r="K64" s="8"/>
      <c r="L64" s="8"/>
      <c r="M64" s="8"/>
      <c r="N64" s="8"/>
      <c r="O64" s="8"/>
      <c r="P64" s="8"/>
      <c r="Q64" s="8"/>
      <c r="R64" s="8"/>
      <c r="S64" s="8"/>
      <c r="T64" s="8"/>
      <c r="U64" s="8"/>
      <c r="V64" s="8"/>
      <c r="W64" s="8"/>
      <c r="X64" s="8"/>
      <c r="Y64" s="8"/>
      <c r="Z64" s="8"/>
      <c r="AA64" s="8"/>
      <c r="AB64" s="9" t="str">
        <f t="shared" si="6"/>
        <v/>
      </c>
      <c r="AC64" s="9" t="str">
        <f t="shared" si="7"/>
        <v>없음</v>
      </c>
      <c r="AD64" s="9" t="str">
        <f t="shared" si="8"/>
        <v/>
      </c>
      <c r="AE64" s="9" t="str">
        <f t="shared" si="9"/>
        <v>없음</v>
      </c>
      <c r="AF64" s="9" t="str">
        <f t="shared" si="10"/>
        <v/>
      </c>
      <c r="AG64" s="9" t="str">
        <f t="shared" si="11"/>
        <v>N</v>
      </c>
    </row>
    <row r="65" spans="1:33" ht="110" customHeight="1">
      <c r="A65" s="7" t="s">
        <v>396</v>
      </c>
      <c r="B65" s="7" t="s">
        <v>397</v>
      </c>
      <c r="C65" s="7" t="s">
        <v>398</v>
      </c>
      <c r="D65" s="7" t="s">
        <v>399</v>
      </c>
      <c r="E65" s="7" t="s">
        <v>400</v>
      </c>
      <c r="F65" s="7"/>
      <c r="G65" s="7"/>
      <c r="H65" s="7"/>
      <c r="I65" s="7"/>
      <c r="J65" s="7"/>
      <c r="K65" s="8"/>
      <c r="L65" s="8"/>
      <c r="M65" s="8"/>
      <c r="N65" s="8"/>
      <c r="O65" s="8"/>
      <c r="P65" s="8"/>
      <c r="Q65" s="8"/>
      <c r="R65" s="8"/>
      <c r="S65" s="8"/>
      <c r="T65" s="8"/>
      <c r="U65" s="8"/>
      <c r="V65" s="8"/>
      <c r="W65" s="8"/>
      <c r="X65" s="8"/>
      <c r="Y65" s="8"/>
      <c r="Z65" s="8"/>
      <c r="AA65" s="8"/>
      <c r="AB65" s="9" t="str">
        <f t="shared" si="6"/>
        <v/>
      </c>
      <c r="AC65" s="9" t="str">
        <f t="shared" si="7"/>
        <v>없음</v>
      </c>
      <c r="AD65" s="9" t="str">
        <f t="shared" si="8"/>
        <v/>
      </c>
      <c r="AE65" s="9" t="str">
        <f t="shared" si="9"/>
        <v>없음</v>
      </c>
      <c r="AF65" s="9" t="str">
        <f t="shared" si="10"/>
        <v/>
      </c>
      <c r="AG65" s="9" t="str">
        <f t="shared" si="11"/>
        <v>N</v>
      </c>
    </row>
    <row r="66" spans="1:33" ht="110" customHeight="1">
      <c r="A66" s="7" t="s">
        <v>401</v>
      </c>
      <c r="B66" s="7" t="s">
        <v>402</v>
      </c>
      <c r="C66" s="7" t="s">
        <v>403</v>
      </c>
      <c r="D66" s="7" t="s">
        <v>404</v>
      </c>
      <c r="E66" s="7" t="s">
        <v>405</v>
      </c>
      <c r="F66" s="7"/>
      <c r="G66" s="7"/>
      <c r="H66" s="7"/>
      <c r="I66" s="7"/>
      <c r="J66" s="7"/>
      <c r="K66" s="8"/>
      <c r="L66" s="8"/>
      <c r="M66" s="8"/>
      <c r="N66" s="8"/>
      <c r="O66" s="8"/>
      <c r="P66" s="8"/>
      <c r="Q66" s="8"/>
      <c r="R66" s="8"/>
      <c r="S66" s="8"/>
      <c r="T66" s="8"/>
      <c r="U66" s="8"/>
      <c r="V66" s="8"/>
      <c r="W66" s="8"/>
      <c r="X66" s="8"/>
      <c r="Y66" s="8"/>
      <c r="Z66" s="8"/>
      <c r="AA66" s="8"/>
      <c r="AB66" s="9" t="str">
        <f t="shared" ref="AB66:AB97" si="12">IF(LEN(IF(K66="Y","규격;","")&amp;IF(L66="Y","가공상태;","")&amp;IF(M66="Y","용도;","")&amp;IF(N66="Y","분류;","")&amp;IF(O66="Y","제품지정;",""))=0,"",LEFT(IF(K66="Y","규격;","")&amp;IF(L66="Y","가공상태;","")&amp;IF(M66="Y","용도;","")&amp;IF(N66="Y","분류;","")&amp;IF(O66="Y","제품지정;",""),LEN(IF(K66="Y","규격;","")&amp;IF(L66="Y","가공상태;","")&amp;IF(M66="Y","용도;","")&amp;IF(N66="Y","분류;","")&amp;IF(O66="Y","제품지정;",""))-1))</f>
        <v/>
      </c>
      <c r="AC66" s="9" t="str">
        <f t="shared" ref="AC66:AC97" si="13">IF(COUNTIF(K66:O66,"Y")=0,"없음",IF(COUNTIF(K66:O66,"Y")&gt;1,"복합",IF(K66="Y","규격",IF(L66="Y","가공상태",IF(M66="Y","용도",IF(N66="Y","분류",IF(O66="Y","제품지정","")))))))</f>
        <v>없음</v>
      </c>
      <c r="AD66" s="9" t="str">
        <f t="shared" ref="AD66:AD97" si="14">IF(LEN(IF(P66="Y","규격;","")&amp;IF(Q66="Y","가공상태;","")&amp;IF(R66="Y","용도;","")&amp;IF(S66="Y","분류;","")&amp;IF(T66="Y","제품지정;",""))=0,"",LEFT(IF(P66="Y","규격;","")&amp;IF(Q66="Y","가공상태;","")&amp;IF(R66="Y","용도;","")&amp;IF(S66="Y","분류;","")&amp;IF(T66="Y","제품지정;",""),LEN(IF(P66="Y","규격;","")&amp;IF(Q66="Y","가공상태;","")&amp;IF(R66="Y","용도;","")&amp;IF(S66="Y","분류;","")&amp;IF(T66="Y","제품지정;",""))-1))</f>
        <v/>
      </c>
      <c r="AE66" s="9" t="str">
        <f t="shared" ref="AE66:AE97" si="15">IF(COUNTIF(P66:T66,"Y")=0,"없음",IF(COUNTIF(P66:T66,"Y")&gt;1,"복합",IF(P66="Y","규격",IF(Q66="Y","가공상태",IF(R66="Y","용도",IF(S66="Y","분류",IF(T66="Y","제품지정","")))))))</f>
        <v>없음</v>
      </c>
      <c r="AF66" s="9" t="str">
        <f t="shared" ref="AF66:AF97" si="16">IF(U66="","",IF(U66="없음","N","Y"))</f>
        <v/>
      </c>
      <c r="AG66" s="9" t="str">
        <f t="shared" ref="AG66:AG97" si="17">IF(OR(M66="Y",R66="Y"),"Y","N")</f>
        <v>N</v>
      </c>
    </row>
    <row r="67" spans="1:33" ht="110" customHeight="1">
      <c r="A67" s="7" t="s">
        <v>406</v>
      </c>
      <c r="B67" s="7" t="s">
        <v>407</v>
      </c>
      <c r="C67" s="7" t="s">
        <v>408</v>
      </c>
      <c r="D67" s="7" t="s">
        <v>409</v>
      </c>
      <c r="E67" s="7" t="s">
        <v>410</v>
      </c>
      <c r="F67" s="7" t="s">
        <v>337</v>
      </c>
      <c r="G67" s="7"/>
      <c r="H67" s="7"/>
      <c r="I67" s="7"/>
      <c r="J67" s="7"/>
      <c r="K67" s="8"/>
      <c r="L67" s="8"/>
      <c r="M67" s="8"/>
      <c r="N67" s="8"/>
      <c r="O67" s="8"/>
      <c r="P67" s="8"/>
      <c r="Q67" s="8"/>
      <c r="R67" s="8"/>
      <c r="S67" s="8"/>
      <c r="T67" s="8"/>
      <c r="U67" s="8"/>
      <c r="V67" s="8"/>
      <c r="W67" s="8"/>
      <c r="X67" s="8"/>
      <c r="Y67" s="8"/>
      <c r="Z67" s="8"/>
      <c r="AA67" s="8"/>
      <c r="AB67" s="9" t="str">
        <f t="shared" si="12"/>
        <v/>
      </c>
      <c r="AC67" s="9" t="str">
        <f t="shared" si="13"/>
        <v>없음</v>
      </c>
      <c r="AD67" s="9" t="str">
        <f t="shared" si="14"/>
        <v/>
      </c>
      <c r="AE67" s="9" t="str">
        <f t="shared" si="15"/>
        <v>없음</v>
      </c>
      <c r="AF67" s="9" t="str">
        <f t="shared" si="16"/>
        <v/>
      </c>
      <c r="AG67" s="9" t="str">
        <f t="shared" si="17"/>
        <v>N</v>
      </c>
    </row>
    <row r="68" spans="1:33" ht="110" customHeight="1">
      <c r="A68" s="7" t="s">
        <v>411</v>
      </c>
      <c r="B68" s="7" t="s">
        <v>412</v>
      </c>
      <c r="C68" s="7" t="s">
        <v>413</v>
      </c>
      <c r="D68" s="7" t="s">
        <v>414</v>
      </c>
      <c r="E68" s="7" t="s">
        <v>415</v>
      </c>
      <c r="F68" s="7" t="s">
        <v>341</v>
      </c>
      <c r="G68" s="7" t="s">
        <v>416</v>
      </c>
      <c r="H68" s="7"/>
      <c r="I68" s="7"/>
      <c r="J68" s="7"/>
      <c r="K68" s="8"/>
      <c r="L68" s="8"/>
      <c r="M68" s="8"/>
      <c r="N68" s="8"/>
      <c r="O68" s="8"/>
      <c r="P68" s="8"/>
      <c r="Q68" s="8"/>
      <c r="R68" s="8"/>
      <c r="S68" s="8"/>
      <c r="T68" s="8"/>
      <c r="U68" s="8"/>
      <c r="V68" s="8"/>
      <c r="W68" s="8"/>
      <c r="X68" s="8"/>
      <c r="Y68" s="8"/>
      <c r="Z68" s="8"/>
      <c r="AA68" s="8"/>
      <c r="AB68" s="9" t="str">
        <f t="shared" si="12"/>
        <v/>
      </c>
      <c r="AC68" s="9" t="str">
        <f t="shared" si="13"/>
        <v>없음</v>
      </c>
      <c r="AD68" s="9" t="str">
        <f t="shared" si="14"/>
        <v/>
      </c>
      <c r="AE68" s="9" t="str">
        <f t="shared" si="15"/>
        <v>없음</v>
      </c>
      <c r="AF68" s="9" t="str">
        <f t="shared" si="16"/>
        <v/>
      </c>
      <c r="AG68" s="9" t="str">
        <f t="shared" si="17"/>
        <v>N</v>
      </c>
    </row>
    <row r="69" spans="1:33" ht="110" customHeight="1">
      <c r="A69" s="7" t="s">
        <v>417</v>
      </c>
      <c r="B69" s="7" t="s">
        <v>418</v>
      </c>
      <c r="C69" s="7" t="s">
        <v>419</v>
      </c>
      <c r="D69" s="7" t="s">
        <v>420</v>
      </c>
      <c r="E69" s="7" t="s">
        <v>421</v>
      </c>
      <c r="F69" s="7"/>
      <c r="G69" s="7"/>
      <c r="H69" s="7"/>
      <c r="I69" s="7"/>
      <c r="J69" s="7"/>
      <c r="K69" s="8"/>
      <c r="L69" s="8"/>
      <c r="M69" s="8"/>
      <c r="N69" s="8"/>
      <c r="O69" s="8"/>
      <c r="P69" s="8"/>
      <c r="Q69" s="8"/>
      <c r="R69" s="8"/>
      <c r="S69" s="8"/>
      <c r="T69" s="8"/>
      <c r="U69" s="8"/>
      <c r="V69" s="8"/>
      <c r="W69" s="8"/>
      <c r="X69" s="8"/>
      <c r="Y69" s="8"/>
      <c r="Z69" s="8"/>
      <c r="AA69" s="8"/>
      <c r="AB69" s="9" t="str">
        <f t="shared" si="12"/>
        <v/>
      </c>
      <c r="AC69" s="9" t="str">
        <f t="shared" si="13"/>
        <v>없음</v>
      </c>
      <c r="AD69" s="9" t="str">
        <f t="shared" si="14"/>
        <v/>
      </c>
      <c r="AE69" s="9" t="str">
        <f t="shared" si="15"/>
        <v>없음</v>
      </c>
      <c r="AF69" s="9" t="str">
        <f t="shared" si="16"/>
        <v/>
      </c>
      <c r="AG69" s="9" t="str">
        <f t="shared" si="17"/>
        <v>N</v>
      </c>
    </row>
    <row r="70" spans="1:33" ht="110" customHeight="1">
      <c r="A70" s="7" t="s">
        <v>422</v>
      </c>
      <c r="B70" s="7" t="s">
        <v>423</v>
      </c>
      <c r="C70" s="7" t="s">
        <v>424</v>
      </c>
      <c r="D70" s="7" t="s">
        <v>425</v>
      </c>
      <c r="E70" s="7" t="s">
        <v>426</v>
      </c>
      <c r="F70" s="7"/>
      <c r="G70" s="7"/>
      <c r="H70" s="7"/>
      <c r="I70" s="7"/>
      <c r="J70" s="7"/>
      <c r="K70" s="8"/>
      <c r="L70" s="8"/>
      <c r="M70" s="8"/>
      <c r="N70" s="8"/>
      <c r="O70" s="8"/>
      <c r="P70" s="8"/>
      <c r="Q70" s="8"/>
      <c r="R70" s="8"/>
      <c r="S70" s="8"/>
      <c r="T70" s="8"/>
      <c r="U70" s="8"/>
      <c r="V70" s="8"/>
      <c r="W70" s="8"/>
      <c r="X70" s="8"/>
      <c r="Y70" s="8"/>
      <c r="Z70" s="8"/>
      <c r="AA70" s="8"/>
      <c r="AB70" s="9" t="str">
        <f t="shared" si="12"/>
        <v/>
      </c>
      <c r="AC70" s="9" t="str">
        <f t="shared" si="13"/>
        <v>없음</v>
      </c>
      <c r="AD70" s="9" t="str">
        <f t="shared" si="14"/>
        <v/>
      </c>
      <c r="AE70" s="9" t="str">
        <f t="shared" si="15"/>
        <v>없음</v>
      </c>
      <c r="AF70" s="9" t="str">
        <f t="shared" si="16"/>
        <v/>
      </c>
      <c r="AG70" s="9" t="str">
        <f t="shared" si="17"/>
        <v>N</v>
      </c>
    </row>
    <row r="71" spans="1:33" ht="110" customHeight="1">
      <c r="A71" s="7" t="s">
        <v>427</v>
      </c>
      <c r="B71" s="7" t="s">
        <v>354</v>
      </c>
      <c r="C71" s="7" t="s">
        <v>428</v>
      </c>
      <c r="D71" s="7" t="s">
        <v>429</v>
      </c>
      <c r="E71" s="7" t="s">
        <v>430</v>
      </c>
      <c r="F71" s="7"/>
      <c r="G71" s="7"/>
      <c r="H71" s="7"/>
      <c r="I71" s="7"/>
      <c r="J71" s="7"/>
      <c r="K71" s="8"/>
      <c r="L71" s="8"/>
      <c r="M71" s="8"/>
      <c r="N71" s="8"/>
      <c r="O71" s="8"/>
      <c r="P71" s="8"/>
      <c r="Q71" s="8"/>
      <c r="R71" s="8"/>
      <c r="S71" s="8"/>
      <c r="T71" s="8"/>
      <c r="U71" s="8"/>
      <c r="V71" s="8"/>
      <c r="W71" s="8"/>
      <c r="X71" s="8"/>
      <c r="Y71" s="8"/>
      <c r="Z71" s="8"/>
      <c r="AA71" s="8"/>
      <c r="AB71" s="9" t="str">
        <f t="shared" si="12"/>
        <v/>
      </c>
      <c r="AC71" s="9" t="str">
        <f t="shared" si="13"/>
        <v>없음</v>
      </c>
      <c r="AD71" s="9" t="str">
        <f t="shared" si="14"/>
        <v/>
      </c>
      <c r="AE71" s="9" t="str">
        <f t="shared" si="15"/>
        <v>없음</v>
      </c>
      <c r="AF71" s="9" t="str">
        <f t="shared" si="16"/>
        <v/>
      </c>
      <c r="AG71" s="9" t="str">
        <f t="shared" si="17"/>
        <v>N</v>
      </c>
    </row>
    <row r="72" spans="1:33" ht="110" customHeight="1">
      <c r="A72" s="7" t="s">
        <v>431</v>
      </c>
      <c r="B72" s="7" t="s">
        <v>359</v>
      </c>
      <c r="C72" s="7" t="s">
        <v>432</v>
      </c>
      <c r="D72" s="7" t="s">
        <v>433</v>
      </c>
      <c r="E72" s="7" t="s">
        <v>434</v>
      </c>
      <c r="F72" s="7" t="s">
        <v>363</v>
      </c>
      <c r="G72" s="7" t="s">
        <v>435</v>
      </c>
      <c r="H72" s="7"/>
      <c r="I72" s="7"/>
      <c r="J72" s="7"/>
      <c r="K72" s="8"/>
      <c r="L72" s="8"/>
      <c r="M72" s="8"/>
      <c r="N72" s="8"/>
      <c r="O72" s="8"/>
      <c r="P72" s="8"/>
      <c r="Q72" s="8"/>
      <c r="R72" s="8"/>
      <c r="S72" s="8"/>
      <c r="T72" s="8"/>
      <c r="U72" s="8"/>
      <c r="V72" s="8"/>
      <c r="W72" s="8"/>
      <c r="X72" s="8"/>
      <c r="Y72" s="8"/>
      <c r="Z72" s="8"/>
      <c r="AA72" s="8"/>
      <c r="AB72" s="9" t="str">
        <f t="shared" si="12"/>
        <v/>
      </c>
      <c r="AC72" s="9" t="str">
        <f t="shared" si="13"/>
        <v>없음</v>
      </c>
      <c r="AD72" s="9" t="str">
        <f t="shared" si="14"/>
        <v/>
      </c>
      <c r="AE72" s="9" t="str">
        <f t="shared" si="15"/>
        <v>없음</v>
      </c>
      <c r="AF72" s="9" t="str">
        <f t="shared" si="16"/>
        <v/>
      </c>
      <c r="AG72" s="9" t="str">
        <f t="shared" si="17"/>
        <v>N</v>
      </c>
    </row>
    <row r="73" spans="1:33" ht="110" customHeight="1">
      <c r="A73" s="7" t="s">
        <v>436</v>
      </c>
      <c r="B73" s="7" t="s">
        <v>437</v>
      </c>
      <c r="C73" s="7" t="s">
        <v>438</v>
      </c>
      <c r="D73" s="7" t="s">
        <v>439</v>
      </c>
      <c r="E73" s="7" t="s">
        <v>440</v>
      </c>
      <c r="F73" s="7"/>
      <c r="G73" s="7"/>
      <c r="H73" s="7"/>
      <c r="I73" s="7"/>
      <c r="J73" s="7"/>
      <c r="K73" s="8"/>
      <c r="L73" s="8"/>
      <c r="M73" s="8"/>
      <c r="N73" s="8"/>
      <c r="O73" s="8"/>
      <c r="P73" s="8"/>
      <c r="Q73" s="8"/>
      <c r="R73" s="8"/>
      <c r="S73" s="8"/>
      <c r="T73" s="8"/>
      <c r="U73" s="8"/>
      <c r="V73" s="8"/>
      <c r="W73" s="8"/>
      <c r="X73" s="8"/>
      <c r="Y73" s="8"/>
      <c r="Z73" s="8"/>
      <c r="AA73" s="8"/>
      <c r="AB73" s="9" t="str">
        <f t="shared" si="12"/>
        <v/>
      </c>
      <c r="AC73" s="9" t="str">
        <f t="shared" si="13"/>
        <v>없음</v>
      </c>
      <c r="AD73" s="9" t="str">
        <f t="shared" si="14"/>
        <v/>
      </c>
      <c r="AE73" s="9" t="str">
        <f t="shared" si="15"/>
        <v>없음</v>
      </c>
      <c r="AF73" s="9" t="str">
        <f t="shared" si="16"/>
        <v/>
      </c>
      <c r="AG73" s="9" t="str">
        <f t="shared" si="17"/>
        <v>N</v>
      </c>
    </row>
    <row r="74" spans="1:33" ht="110" customHeight="1">
      <c r="A74" s="7" t="s">
        <v>441</v>
      </c>
      <c r="B74" s="7" t="s">
        <v>442</v>
      </c>
      <c r="C74" s="7" t="s">
        <v>443</v>
      </c>
      <c r="D74" s="7" t="s">
        <v>444</v>
      </c>
      <c r="E74" s="7" t="s">
        <v>445</v>
      </c>
      <c r="F74" s="7" t="s">
        <v>341</v>
      </c>
      <c r="G74" s="7" t="s">
        <v>446</v>
      </c>
      <c r="H74" s="7"/>
      <c r="I74" s="7"/>
      <c r="J74" s="7"/>
      <c r="K74" s="8"/>
      <c r="L74" s="8"/>
      <c r="M74" s="8"/>
      <c r="N74" s="8"/>
      <c r="O74" s="8"/>
      <c r="P74" s="8"/>
      <c r="Q74" s="8"/>
      <c r="R74" s="8"/>
      <c r="S74" s="8"/>
      <c r="T74" s="8"/>
      <c r="U74" s="8"/>
      <c r="V74" s="8"/>
      <c r="W74" s="8"/>
      <c r="X74" s="8"/>
      <c r="Y74" s="8"/>
      <c r="Z74" s="8"/>
      <c r="AA74" s="8"/>
      <c r="AB74" s="9" t="str">
        <f t="shared" si="12"/>
        <v/>
      </c>
      <c r="AC74" s="9" t="str">
        <f t="shared" si="13"/>
        <v>없음</v>
      </c>
      <c r="AD74" s="9" t="str">
        <f t="shared" si="14"/>
        <v/>
      </c>
      <c r="AE74" s="9" t="str">
        <f t="shared" si="15"/>
        <v>없음</v>
      </c>
      <c r="AF74" s="9" t="str">
        <f t="shared" si="16"/>
        <v/>
      </c>
      <c r="AG74" s="9" t="str">
        <f t="shared" si="17"/>
        <v>N</v>
      </c>
    </row>
    <row r="75" spans="1:33" ht="110" customHeight="1">
      <c r="A75" s="7" t="s">
        <v>447</v>
      </c>
      <c r="B75" s="7" t="s">
        <v>448</v>
      </c>
      <c r="C75" s="7" t="s">
        <v>443</v>
      </c>
      <c r="D75" s="7" t="s">
        <v>444</v>
      </c>
      <c r="E75" s="7" t="s">
        <v>449</v>
      </c>
      <c r="F75" s="7"/>
      <c r="G75" s="7"/>
      <c r="H75" s="7"/>
      <c r="I75" s="7"/>
      <c r="J75" s="7"/>
      <c r="K75" s="8"/>
      <c r="L75" s="8"/>
      <c r="M75" s="8"/>
      <c r="N75" s="8"/>
      <c r="O75" s="8"/>
      <c r="P75" s="8"/>
      <c r="Q75" s="8"/>
      <c r="R75" s="8"/>
      <c r="S75" s="8"/>
      <c r="T75" s="8"/>
      <c r="U75" s="8"/>
      <c r="V75" s="8"/>
      <c r="W75" s="8"/>
      <c r="X75" s="8"/>
      <c r="Y75" s="8"/>
      <c r="Z75" s="8"/>
      <c r="AA75" s="8"/>
      <c r="AB75" s="9" t="str">
        <f t="shared" si="12"/>
        <v/>
      </c>
      <c r="AC75" s="9" t="str">
        <f t="shared" si="13"/>
        <v>없음</v>
      </c>
      <c r="AD75" s="9" t="str">
        <f t="shared" si="14"/>
        <v/>
      </c>
      <c r="AE75" s="9" t="str">
        <f t="shared" si="15"/>
        <v>없음</v>
      </c>
      <c r="AF75" s="9" t="str">
        <f t="shared" si="16"/>
        <v/>
      </c>
      <c r="AG75" s="9" t="str">
        <f t="shared" si="17"/>
        <v>N</v>
      </c>
    </row>
    <row r="76" spans="1:33" ht="110" customHeight="1">
      <c r="A76" s="7" t="s">
        <v>450</v>
      </c>
      <c r="B76" s="7" t="s">
        <v>378</v>
      </c>
      <c r="C76" s="7" t="s">
        <v>451</v>
      </c>
      <c r="D76" s="7" t="s">
        <v>452</v>
      </c>
      <c r="E76" s="7" t="s">
        <v>453</v>
      </c>
      <c r="F76" s="7"/>
      <c r="G76" s="7"/>
      <c r="H76" s="7"/>
      <c r="I76" s="7"/>
      <c r="J76" s="7"/>
      <c r="K76" s="8"/>
      <c r="L76" s="8"/>
      <c r="M76" s="8"/>
      <c r="N76" s="8"/>
      <c r="O76" s="8"/>
      <c r="P76" s="8"/>
      <c r="Q76" s="8"/>
      <c r="R76" s="8"/>
      <c r="S76" s="8"/>
      <c r="T76" s="8"/>
      <c r="U76" s="8"/>
      <c r="V76" s="8"/>
      <c r="W76" s="8"/>
      <c r="X76" s="8"/>
      <c r="Y76" s="8"/>
      <c r="Z76" s="8"/>
      <c r="AA76" s="8"/>
      <c r="AB76" s="9" t="str">
        <f t="shared" si="12"/>
        <v/>
      </c>
      <c r="AC76" s="9" t="str">
        <f t="shared" si="13"/>
        <v>없음</v>
      </c>
      <c r="AD76" s="9" t="str">
        <f t="shared" si="14"/>
        <v/>
      </c>
      <c r="AE76" s="9" t="str">
        <f t="shared" si="15"/>
        <v>없음</v>
      </c>
      <c r="AF76" s="9" t="str">
        <f t="shared" si="16"/>
        <v/>
      </c>
      <c r="AG76" s="9" t="str">
        <f t="shared" si="17"/>
        <v>N</v>
      </c>
    </row>
    <row r="77" spans="1:33" ht="110" customHeight="1">
      <c r="A77" s="7" t="s">
        <v>454</v>
      </c>
      <c r="B77" s="7" t="s">
        <v>455</v>
      </c>
      <c r="C77" s="7" t="s">
        <v>456</v>
      </c>
      <c r="D77" s="7" t="s">
        <v>457</v>
      </c>
      <c r="E77" s="7" t="s">
        <v>458</v>
      </c>
      <c r="F77" s="7"/>
      <c r="G77" s="7"/>
      <c r="H77" s="7"/>
      <c r="I77" s="7"/>
      <c r="J77" s="7"/>
      <c r="K77" s="8"/>
      <c r="L77" s="8"/>
      <c r="M77" s="8"/>
      <c r="N77" s="8"/>
      <c r="O77" s="8"/>
      <c r="P77" s="8"/>
      <c r="Q77" s="8"/>
      <c r="R77" s="8"/>
      <c r="S77" s="8"/>
      <c r="T77" s="8"/>
      <c r="U77" s="8"/>
      <c r="V77" s="8"/>
      <c r="W77" s="8"/>
      <c r="X77" s="8"/>
      <c r="Y77" s="8"/>
      <c r="Z77" s="8"/>
      <c r="AA77" s="8"/>
      <c r="AB77" s="9" t="str">
        <f t="shared" si="12"/>
        <v/>
      </c>
      <c r="AC77" s="9" t="str">
        <f t="shared" si="13"/>
        <v>없음</v>
      </c>
      <c r="AD77" s="9" t="str">
        <f t="shared" si="14"/>
        <v/>
      </c>
      <c r="AE77" s="9" t="str">
        <f t="shared" si="15"/>
        <v>없음</v>
      </c>
      <c r="AF77" s="9" t="str">
        <f t="shared" si="16"/>
        <v/>
      </c>
      <c r="AG77" s="9" t="str">
        <f t="shared" si="17"/>
        <v>N</v>
      </c>
    </row>
    <row r="78" spans="1:33" ht="110" customHeight="1">
      <c r="A78" s="7" t="s">
        <v>459</v>
      </c>
      <c r="B78" s="7" t="s">
        <v>460</v>
      </c>
      <c r="C78" s="7" t="s">
        <v>456</v>
      </c>
      <c r="D78" s="7" t="s">
        <v>457</v>
      </c>
      <c r="E78" s="7" t="s">
        <v>461</v>
      </c>
      <c r="F78" s="7" t="s">
        <v>462</v>
      </c>
      <c r="G78" s="7"/>
      <c r="H78" s="7"/>
      <c r="I78" s="7"/>
      <c r="J78" s="7"/>
      <c r="K78" s="8"/>
      <c r="L78" s="8"/>
      <c r="M78" s="8"/>
      <c r="N78" s="8"/>
      <c r="O78" s="8"/>
      <c r="P78" s="8"/>
      <c r="Q78" s="8"/>
      <c r="R78" s="8"/>
      <c r="S78" s="8"/>
      <c r="T78" s="8"/>
      <c r="U78" s="8"/>
      <c r="V78" s="8"/>
      <c r="W78" s="8"/>
      <c r="X78" s="8"/>
      <c r="Y78" s="8"/>
      <c r="Z78" s="8"/>
      <c r="AA78" s="8"/>
      <c r="AB78" s="9" t="str">
        <f t="shared" si="12"/>
        <v/>
      </c>
      <c r="AC78" s="9" t="str">
        <f t="shared" si="13"/>
        <v>없음</v>
      </c>
      <c r="AD78" s="9" t="str">
        <f t="shared" si="14"/>
        <v/>
      </c>
      <c r="AE78" s="9" t="str">
        <f t="shared" si="15"/>
        <v>없음</v>
      </c>
      <c r="AF78" s="9" t="str">
        <f t="shared" si="16"/>
        <v/>
      </c>
      <c r="AG78" s="9" t="str">
        <f t="shared" si="17"/>
        <v>N</v>
      </c>
    </row>
    <row r="79" spans="1:33" ht="110" customHeight="1">
      <c r="A79" s="7" t="s">
        <v>463</v>
      </c>
      <c r="B79" s="7" t="s">
        <v>391</v>
      </c>
      <c r="C79" s="7" t="s">
        <v>464</v>
      </c>
      <c r="D79" s="7" t="s">
        <v>465</v>
      </c>
      <c r="E79" s="7" t="s">
        <v>466</v>
      </c>
      <c r="F79" s="7" t="s">
        <v>467</v>
      </c>
      <c r="G79" s="7"/>
      <c r="H79" s="7"/>
      <c r="I79" s="7"/>
      <c r="J79" s="7"/>
      <c r="K79" s="8"/>
      <c r="L79" s="8"/>
      <c r="M79" s="8"/>
      <c r="N79" s="8"/>
      <c r="O79" s="8"/>
      <c r="P79" s="8"/>
      <c r="Q79" s="8"/>
      <c r="R79" s="8"/>
      <c r="S79" s="8"/>
      <c r="T79" s="8"/>
      <c r="U79" s="8"/>
      <c r="V79" s="8"/>
      <c r="W79" s="8"/>
      <c r="X79" s="8"/>
      <c r="Y79" s="8"/>
      <c r="Z79" s="8"/>
      <c r="AA79" s="8"/>
      <c r="AB79" s="9" t="str">
        <f t="shared" si="12"/>
        <v/>
      </c>
      <c r="AC79" s="9" t="str">
        <f t="shared" si="13"/>
        <v>없음</v>
      </c>
      <c r="AD79" s="9" t="str">
        <f t="shared" si="14"/>
        <v/>
      </c>
      <c r="AE79" s="9" t="str">
        <f t="shared" si="15"/>
        <v>없음</v>
      </c>
      <c r="AF79" s="9" t="str">
        <f t="shared" si="16"/>
        <v/>
      </c>
      <c r="AG79" s="9" t="str">
        <f t="shared" si="17"/>
        <v>N</v>
      </c>
    </row>
    <row r="80" spans="1:33" ht="110" customHeight="1">
      <c r="A80" s="7" t="s">
        <v>468</v>
      </c>
      <c r="B80" s="7" t="s">
        <v>397</v>
      </c>
      <c r="C80" s="7" t="s">
        <v>469</v>
      </c>
      <c r="D80" s="7" t="s">
        <v>470</v>
      </c>
      <c r="E80" s="7" t="s">
        <v>471</v>
      </c>
      <c r="F80" s="7"/>
      <c r="G80" s="7"/>
      <c r="H80" s="7"/>
      <c r="I80" s="7"/>
      <c r="J80" s="7"/>
      <c r="K80" s="8"/>
      <c r="L80" s="8"/>
      <c r="M80" s="8"/>
      <c r="N80" s="8"/>
      <c r="O80" s="8"/>
      <c r="P80" s="8"/>
      <c r="Q80" s="8"/>
      <c r="R80" s="8"/>
      <c r="S80" s="8"/>
      <c r="T80" s="8"/>
      <c r="U80" s="8"/>
      <c r="V80" s="8"/>
      <c r="W80" s="8"/>
      <c r="X80" s="8"/>
      <c r="Y80" s="8"/>
      <c r="Z80" s="8"/>
      <c r="AA80" s="8"/>
      <c r="AB80" s="9" t="str">
        <f t="shared" si="12"/>
        <v/>
      </c>
      <c r="AC80" s="9" t="str">
        <f t="shared" si="13"/>
        <v>없음</v>
      </c>
      <c r="AD80" s="9" t="str">
        <f t="shared" si="14"/>
        <v/>
      </c>
      <c r="AE80" s="9" t="str">
        <f t="shared" si="15"/>
        <v>없음</v>
      </c>
      <c r="AF80" s="9" t="str">
        <f t="shared" si="16"/>
        <v/>
      </c>
      <c r="AG80" s="9" t="str">
        <f t="shared" si="17"/>
        <v>N</v>
      </c>
    </row>
    <row r="81" spans="1:33" ht="110" customHeight="1">
      <c r="A81" s="7" t="s">
        <v>472</v>
      </c>
      <c r="B81" s="7" t="s">
        <v>473</v>
      </c>
      <c r="C81" s="7" t="s">
        <v>474</v>
      </c>
      <c r="D81" s="7" t="s">
        <v>475</v>
      </c>
      <c r="E81" s="7" t="s">
        <v>476</v>
      </c>
      <c r="F81" s="7"/>
      <c r="G81" s="7" t="s">
        <v>477</v>
      </c>
      <c r="H81" s="7"/>
      <c r="I81" s="7" t="s">
        <v>476</v>
      </c>
      <c r="J81" s="7" t="s">
        <v>478</v>
      </c>
      <c r="K81" s="8"/>
      <c r="L81" s="8"/>
      <c r="M81" s="8"/>
      <c r="N81" s="8"/>
      <c r="O81" s="8"/>
      <c r="P81" s="8"/>
      <c r="Q81" s="8"/>
      <c r="R81" s="8"/>
      <c r="S81" s="8"/>
      <c r="T81" s="8"/>
      <c r="U81" s="8"/>
      <c r="V81" s="8"/>
      <c r="W81" s="8"/>
      <c r="X81" s="8"/>
      <c r="Y81" s="8"/>
      <c r="Z81" s="8"/>
      <c r="AA81" s="8"/>
      <c r="AB81" s="9" t="str">
        <f t="shared" si="12"/>
        <v/>
      </c>
      <c r="AC81" s="9" t="str">
        <f t="shared" si="13"/>
        <v>없음</v>
      </c>
      <c r="AD81" s="9" t="str">
        <f t="shared" si="14"/>
        <v/>
      </c>
      <c r="AE81" s="9" t="str">
        <f t="shared" si="15"/>
        <v>없음</v>
      </c>
      <c r="AF81" s="9" t="str">
        <f t="shared" si="16"/>
        <v/>
      </c>
      <c r="AG81" s="9" t="str">
        <f t="shared" si="17"/>
        <v>N</v>
      </c>
    </row>
    <row r="82" spans="1:33" ht="110" customHeight="1">
      <c r="A82" s="7" t="s">
        <v>479</v>
      </c>
      <c r="B82" s="7" t="s">
        <v>480</v>
      </c>
      <c r="C82" s="7" t="s">
        <v>481</v>
      </c>
      <c r="D82" s="7" t="s">
        <v>482</v>
      </c>
      <c r="E82" s="7" t="s">
        <v>483</v>
      </c>
      <c r="F82" s="7" t="s">
        <v>484</v>
      </c>
      <c r="G82" s="7" t="s">
        <v>485</v>
      </c>
      <c r="H82" s="7"/>
      <c r="I82" s="7"/>
      <c r="J82" s="7"/>
      <c r="K82" s="8"/>
      <c r="L82" s="8"/>
      <c r="M82" s="8"/>
      <c r="N82" s="8"/>
      <c r="O82" s="8"/>
      <c r="P82" s="8"/>
      <c r="Q82" s="8"/>
      <c r="R82" s="8"/>
      <c r="S82" s="8"/>
      <c r="T82" s="8"/>
      <c r="U82" s="8"/>
      <c r="V82" s="8"/>
      <c r="W82" s="8"/>
      <c r="X82" s="8"/>
      <c r="Y82" s="8"/>
      <c r="Z82" s="8"/>
      <c r="AA82" s="8"/>
      <c r="AB82" s="9" t="str">
        <f t="shared" si="12"/>
        <v/>
      </c>
      <c r="AC82" s="9" t="str">
        <f t="shared" si="13"/>
        <v>없음</v>
      </c>
      <c r="AD82" s="9" t="str">
        <f t="shared" si="14"/>
        <v/>
      </c>
      <c r="AE82" s="9" t="str">
        <f t="shared" si="15"/>
        <v>없음</v>
      </c>
      <c r="AF82" s="9" t="str">
        <f t="shared" si="16"/>
        <v/>
      </c>
      <c r="AG82" s="9" t="str">
        <f t="shared" si="17"/>
        <v>N</v>
      </c>
    </row>
    <row r="83" spans="1:33" ht="110" customHeight="1">
      <c r="A83" s="7" t="s">
        <v>486</v>
      </c>
      <c r="B83" s="7" t="s">
        <v>487</v>
      </c>
      <c r="C83" s="7" t="s">
        <v>488</v>
      </c>
      <c r="D83" s="7" t="s">
        <v>489</v>
      </c>
      <c r="E83" s="7" t="s">
        <v>490</v>
      </c>
      <c r="F83" s="7"/>
      <c r="G83" s="7"/>
      <c r="H83" s="7"/>
      <c r="I83" s="7"/>
      <c r="J83" s="7"/>
      <c r="K83" s="8"/>
      <c r="L83" s="8"/>
      <c r="M83" s="8"/>
      <c r="N83" s="8"/>
      <c r="O83" s="8"/>
      <c r="P83" s="8"/>
      <c r="Q83" s="8"/>
      <c r="R83" s="8"/>
      <c r="S83" s="8"/>
      <c r="T83" s="8"/>
      <c r="U83" s="8"/>
      <c r="V83" s="8"/>
      <c r="W83" s="8"/>
      <c r="X83" s="8"/>
      <c r="Y83" s="8"/>
      <c r="Z83" s="8"/>
      <c r="AA83" s="8"/>
      <c r="AB83" s="9" t="str">
        <f t="shared" si="12"/>
        <v/>
      </c>
      <c r="AC83" s="9" t="str">
        <f t="shared" si="13"/>
        <v>없음</v>
      </c>
      <c r="AD83" s="9" t="str">
        <f t="shared" si="14"/>
        <v/>
      </c>
      <c r="AE83" s="9" t="str">
        <f t="shared" si="15"/>
        <v>없음</v>
      </c>
      <c r="AF83" s="9" t="str">
        <f t="shared" si="16"/>
        <v/>
      </c>
      <c r="AG83" s="9" t="str">
        <f t="shared" si="17"/>
        <v>N</v>
      </c>
    </row>
    <row r="84" spans="1:33" ht="110" customHeight="1">
      <c r="A84" s="7" t="s">
        <v>491</v>
      </c>
      <c r="B84" s="7" t="s">
        <v>492</v>
      </c>
      <c r="C84" s="7" t="s">
        <v>488</v>
      </c>
      <c r="D84" s="7" t="s">
        <v>489</v>
      </c>
      <c r="E84" s="7" t="s">
        <v>493</v>
      </c>
      <c r="F84" s="7"/>
      <c r="G84" s="7"/>
      <c r="H84" s="7"/>
      <c r="I84" s="7"/>
      <c r="J84" s="7"/>
      <c r="K84" s="8"/>
      <c r="L84" s="8"/>
      <c r="M84" s="8"/>
      <c r="N84" s="8"/>
      <c r="O84" s="8"/>
      <c r="P84" s="8"/>
      <c r="Q84" s="8"/>
      <c r="R84" s="8"/>
      <c r="S84" s="8"/>
      <c r="T84" s="8"/>
      <c r="U84" s="8"/>
      <c r="V84" s="8"/>
      <c r="W84" s="8"/>
      <c r="X84" s="8"/>
      <c r="Y84" s="8"/>
      <c r="Z84" s="8"/>
      <c r="AA84" s="8"/>
      <c r="AB84" s="9" t="str">
        <f t="shared" si="12"/>
        <v/>
      </c>
      <c r="AC84" s="9" t="str">
        <f t="shared" si="13"/>
        <v>없음</v>
      </c>
      <c r="AD84" s="9" t="str">
        <f t="shared" si="14"/>
        <v/>
      </c>
      <c r="AE84" s="9" t="str">
        <f t="shared" si="15"/>
        <v>없음</v>
      </c>
      <c r="AF84" s="9" t="str">
        <f t="shared" si="16"/>
        <v/>
      </c>
      <c r="AG84" s="9" t="str">
        <f t="shared" si="17"/>
        <v>N</v>
      </c>
    </row>
    <row r="85" spans="1:33" ht="110" customHeight="1">
      <c r="A85" s="7" t="s">
        <v>494</v>
      </c>
      <c r="B85" s="7" t="s">
        <v>339</v>
      </c>
      <c r="C85" s="7" t="s">
        <v>495</v>
      </c>
      <c r="D85" s="7" t="s">
        <v>496</v>
      </c>
      <c r="E85" s="7" t="s">
        <v>497</v>
      </c>
      <c r="F85" s="7" t="s">
        <v>341</v>
      </c>
      <c r="G85" s="7" t="s">
        <v>498</v>
      </c>
      <c r="H85" s="7"/>
      <c r="I85" s="7"/>
      <c r="J85" s="7"/>
      <c r="K85" s="8"/>
      <c r="L85" s="8"/>
      <c r="M85" s="8"/>
      <c r="N85" s="8"/>
      <c r="O85" s="8"/>
      <c r="P85" s="8"/>
      <c r="Q85" s="8"/>
      <c r="R85" s="8"/>
      <c r="S85" s="8"/>
      <c r="T85" s="8"/>
      <c r="U85" s="8"/>
      <c r="V85" s="8"/>
      <c r="W85" s="8"/>
      <c r="X85" s="8"/>
      <c r="Y85" s="8"/>
      <c r="Z85" s="8"/>
      <c r="AA85" s="8"/>
      <c r="AB85" s="9" t="str">
        <f t="shared" si="12"/>
        <v/>
      </c>
      <c r="AC85" s="9" t="str">
        <f t="shared" si="13"/>
        <v>없음</v>
      </c>
      <c r="AD85" s="9" t="str">
        <f t="shared" si="14"/>
        <v/>
      </c>
      <c r="AE85" s="9" t="str">
        <f t="shared" si="15"/>
        <v>없음</v>
      </c>
      <c r="AF85" s="9" t="str">
        <f t="shared" si="16"/>
        <v/>
      </c>
      <c r="AG85" s="9" t="str">
        <f t="shared" si="17"/>
        <v>N</v>
      </c>
    </row>
    <row r="86" spans="1:33" ht="110" customHeight="1">
      <c r="A86" s="7" t="s">
        <v>499</v>
      </c>
      <c r="B86" s="7" t="s">
        <v>500</v>
      </c>
      <c r="C86" s="7" t="s">
        <v>501</v>
      </c>
      <c r="D86" s="7" t="s">
        <v>502</v>
      </c>
      <c r="E86" s="7" t="s">
        <v>503</v>
      </c>
      <c r="F86" s="7"/>
      <c r="G86" s="7"/>
      <c r="H86" s="7"/>
      <c r="I86" s="7"/>
      <c r="J86" s="7"/>
      <c r="K86" s="8"/>
      <c r="L86" s="8"/>
      <c r="M86" s="8"/>
      <c r="N86" s="8"/>
      <c r="O86" s="8"/>
      <c r="P86" s="8"/>
      <c r="Q86" s="8"/>
      <c r="R86" s="8"/>
      <c r="S86" s="8"/>
      <c r="T86" s="8"/>
      <c r="U86" s="8"/>
      <c r="V86" s="8"/>
      <c r="W86" s="8"/>
      <c r="X86" s="8"/>
      <c r="Y86" s="8"/>
      <c r="Z86" s="8"/>
      <c r="AA86" s="8"/>
      <c r="AB86" s="9" t="str">
        <f t="shared" si="12"/>
        <v/>
      </c>
      <c r="AC86" s="9" t="str">
        <f t="shared" si="13"/>
        <v>없음</v>
      </c>
      <c r="AD86" s="9" t="str">
        <f t="shared" si="14"/>
        <v/>
      </c>
      <c r="AE86" s="9" t="str">
        <f t="shared" si="15"/>
        <v>없음</v>
      </c>
      <c r="AF86" s="9" t="str">
        <f t="shared" si="16"/>
        <v/>
      </c>
      <c r="AG86" s="9" t="str">
        <f t="shared" si="17"/>
        <v>N</v>
      </c>
    </row>
    <row r="87" spans="1:33" ht="110" customHeight="1">
      <c r="A87" s="7" t="s">
        <v>504</v>
      </c>
      <c r="B87" s="7" t="s">
        <v>505</v>
      </c>
      <c r="C87" s="7" t="s">
        <v>506</v>
      </c>
      <c r="D87" s="7" t="s">
        <v>507</v>
      </c>
      <c r="E87" s="7" t="s">
        <v>508</v>
      </c>
      <c r="F87" s="7"/>
      <c r="G87" s="7"/>
      <c r="H87" s="7"/>
      <c r="I87" s="7"/>
      <c r="J87" s="7"/>
      <c r="K87" s="8"/>
      <c r="L87" s="8"/>
      <c r="M87" s="8"/>
      <c r="N87" s="8"/>
      <c r="O87" s="8"/>
      <c r="P87" s="8"/>
      <c r="Q87" s="8"/>
      <c r="R87" s="8"/>
      <c r="S87" s="8"/>
      <c r="T87" s="8"/>
      <c r="U87" s="8"/>
      <c r="V87" s="8"/>
      <c r="W87" s="8"/>
      <c r="X87" s="8"/>
      <c r="Y87" s="8"/>
      <c r="Z87" s="8"/>
      <c r="AA87" s="8"/>
      <c r="AB87" s="9" t="str">
        <f t="shared" si="12"/>
        <v/>
      </c>
      <c r="AC87" s="9" t="str">
        <f t="shared" si="13"/>
        <v>없음</v>
      </c>
      <c r="AD87" s="9" t="str">
        <f t="shared" si="14"/>
        <v/>
      </c>
      <c r="AE87" s="9" t="str">
        <f t="shared" si="15"/>
        <v>없음</v>
      </c>
      <c r="AF87" s="9" t="str">
        <f t="shared" si="16"/>
        <v/>
      </c>
      <c r="AG87" s="9" t="str">
        <f t="shared" si="17"/>
        <v>N</v>
      </c>
    </row>
    <row r="88" spans="1:33" ht="110" customHeight="1">
      <c r="A88" s="7" t="s">
        <v>509</v>
      </c>
      <c r="B88" s="7" t="s">
        <v>510</v>
      </c>
      <c r="C88" s="7" t="s">
        <v>506</v>
      </c>
      <c r="D88" s="7" t="s">
        <v>507</v>
      </c>
      <c r="E88" s="7" t="s">
        <v>511</v>
      </c>
      <c r="F88" s="7" t="s">
        <v>387</v>
      </c>
      <c r="G88" s="7" t="s">
        <v>512</v>
      </c>
      <c r="H88" s="7"/>
      <c r="I88" s="7"/>
      <c r="J88" s="7"/>
      <c r="K88" s="8"/>
      <c r="L88" s="8"/>
      <c r="M88" s="8"/>
      <c r="N88" s="8"/>
      <c r="O88" s="8"/>
      <c r="P88" s="8"/>
      <c r="Q88" s="8"/>
      <c r="R88" s="8"/>
      <c r="S88" s="8"/>
      <c r="T88" s="8"/>
      <c r="U88" s="8"/>
      <c r="V88" s="8"/>
      <c r="W88" s="8"/>
      <c r="X88" s="8"/>
      <c r="Y88" s="8"/>
      <c r="Z88" s="8"/>
      <c r="AA88" s="8"/>
      <c r="AB88" s="9" t="str">
        <f t="shared" si="12"/>
        <v/>
      </c>
      <c r="AC88" s="9" t="str">
        <f t="shared" si="13"/>
        <v>없음</v>
      </c>
      <c r="AD88" s="9" t="str">
        <f t="shared" si="14"/>
        <v/>
      </c>
      <c r="AE88" s="9" t="str">
        <f t="shared" si="15"/>
        <v>없음</v>
      </c>
      <c r="AF88" s="9" t="str">
        <f t="shared" si="16"/>
        <v/>
      </c>
      <c r="AG88" s="9" t="str">
        <f t="shared" si="17"/>
        <v>N</v>
      </c>
    </row>
    <row r="89" spans="1:33" ht="110" customHeight="1">
      <c r="A89" s="7" t="s">
        <v>513</v>
      </c>
      <c r="B89" s="7" t="s">
        <v>378</v>
      </c>
      <c r="C89" s="7" t="s">
        <v>514</v>
      </c>
      <c r="D89" s="7" t="s">
        <v>515</v>
      </c>
      <c r="E89" s="7" t="s">
        <v>516</v>
      </c>
      <c r="F89" s="7"/>
      <c r="G89" s="7"/>
      <c r="H89" s="7"/>
      <c r="I89" s="7"/>
      <c r="J89" s="7"/>
      <c r="K89" s="8"/>
      <c r="L89" s="8"/>
      <c r="M89" s="8"/>
      <c r="N89" s="8"/>
      <c r="O89" s="8"/>
      <c r="P89" s="8"/>
      <c r="Q89" s="8"/>
      <c r="R89" s="8"/>
      <c r="S89" s="8"/>
      <c r="T89" s="8"/>
      <c r="U89" s="8"/>
      <c r="V89" s="8"/>
      <c r="W89" s="8"/>
      <c r="X89" s="8"/>
      <c r="Y89" s="8"/>
      <c r="Z89" s="8"/>
      <c r="AA89" s="8"/>
      <c r="AB89" s="9" t="str">
        <f t="shared" si="12"/>
        <v/>
      </c>
      <c r="AC89" s="9" t="str">
        <f t="shared" si="13"/>
        <v>없음</v>
      </c>
      <c r="AD89" s="9" t="str">
        <f t="shared" si="14"/>
        <v/>
      </c>
      <c r="AE89" s="9" t="str">
        <f t="shared" si="15"/>
        <v>없음</v>
      </c>
      <c r="AF89" s="9" t="str">
        <f t="shared" si="16"/>
        <v/>
      </c>
      <c r="AG89" s="9" t="str">
        <f t="shared" si="17"/>
        <v>N</v>
      </c>
    </row>
    <row r="90" spans="1:33" ht="110" customHeight="1">
      <c r="A90" s="7" t="s">
        <v>517</v>
      </c>
      <c r="B90" s="7" t="s">
        <v>437</v>
      </c>
      <c r="C90" s="7" t="s">
        <v>514</v>
      </c>
      <c r="D90" s="7" t="s">
        <v>515</v>
      </c>
      <c r="E90" s="7" t="s">
        <v>518</v>
      </c>
      <c r="F90" s="7"/>
      <c r="G90" s="7"/>
      <c r="H90" s="7"/>
      <c r="I90" s="7"/>
      <c r="J90" s="7"/>
      <c r="K90" s="8"/>
      <c r="L90" s="8"/>
      <c r="M90" s="8"/>
      <c r="N90" s="8"/>
      <c r="O90" s="8"/>
      <c r="P90" s="8"/>
      <c r="Q90" s="8"/>
      <c r="R90" s="8"/>
      <c r="S90" s="8"/>
      <c r="T90" s="8"/>
      <c r="U90" s="8"/>
      <c r="V90" s="8"/>
      <c r="W90" s="8"/>
      <c r="X90" s="8"/>
      <c r="Y90" s="8"/>
      <c r="Z90" s="8"/>
      <c r="AA90" s="8"/>
      <c r="AB90" s="9" t="str">
        <f t="shared" si="12"/>
        <v/>
      </c>
      <c r="AC90" s="9" t="str">
        <f t="shared" si="13"/>
        <v>없음</v>
      </c>
      <c r="AD90" s="9" t="str">
        <f t="shared" si="14"/>
        <v/>
      </c>
      <c r="AE90" s="9" t="str">
        <f t="shared" si="15"/>
        <v>없음</v>
      </c>
      <c r="AF90" s="9" t="str">
        <f t="shared" si="16"/>
        <v/>
      </c>
      <c r="AG90" s="9" t="str">
        <f t="shared" si="17"/>
        <v>N</v>
      </c>
    </row>
    <row r="91" spans="1:33" ht="110" customHeight="1">
      <c r="A91" s="7" t="s">
        <v>519</v>
      </c>
      <c r="B91" s="7" t="s">
        <v>359</v>
      </c>
      <c r="C91" s="7" t="s">
        <v>520</v>
      </c>
      <c r="D91" s="7" t="s">
        <v>521</v>
      </c>
      <c r="E91" s="7" t="s">
        <v>522</v>
      </c>
      <c r="F91" s="7" t="s">
        <v>523</v>
      </c>
      <c r="G91" s="7" t="s">
        <v>524</v>
      </c>
      <c r="H91" s="7"/>
      <c r="I91" s="7"/>
      <c r="J91" s="7"/>
      <c r="K91" s="8"/>
      <c r="L91" s="8"/>
      <c r="M91" s="8"/>
      <c r="N91" s="8"/>
      <c r="O91" s="8"/>
      <c r="P91" s="8"/>
      <c r="Q91" s="8"/>
      <c r="R91" s="8"/>
      <c r="S91" s="8"/>
      <c r="T91" s="8"/>
      <c r="U91" s="8"/>
      <c r="V91" s="8"/>
      <c r="W91" s="8"/>
      <c r="X91" s="8"/>
      <c r="Y91" s="8"/>
      <c r="Z91" s="8"/>
      <c r="AA91" s="8"/>
      <c r="AB91" s="9" t="str">
        <f t="shared" si="12"/>
        <v/>
      </c>
      <c r="AC91" s="9" t="str">
        <f t="shared" si="13"/>
        <v>없음</v>
      </c>
      <c r="AD91" s="9" t="str">
        <f t="shared" si="14"/>
        <v/>
      </c>
      <c r="AE91" s="9" t="str">
        <f t="shared" si="15"/>
        <v>없음</v>
      </c>
      <c r="AF91" s="9" t="str">
        <f t="shared" si="16"/>
        <v/>
      </c>
      <c r="AG91" s="9" t="str">
        <f t="shared" si="17"/>
        <v>N</v>
      </c>
    </row>
    <row r="92" spans="1:33" ht="110" customHeight="1">
      <c r="A92" s="7" t="s">
        <v>525</v>
      </c>
      <c r="B92" s="7" t="s">
        <v>526</v>
      </c>
      <c r="C92" s="7" t="s">
        <v>527</v>
      </c>
      <c r="D92" s="7" t="s">
        <v>528</v>
      </c>
      <c r="E92" s="7" t="s">
        <v>529</v>
      </c>
      <c r="F92" s="7" t="s">
        <v>530</v>
      </c>
      <c r="G92" s="7"/>
      <c r="H92" s="7"/>
      <c r="I92" s="7"/>
      <c r="J92" s="7"/>
      <c r="K92" s="8"/>
      <c r="L92" s="8"/>
      <c r="M92" s="8"/>
      <c r="N92" s="8"/>
      <c r="O92" s="8"/>
      <c r="P92" s="8"/>
      <c r="Q92" s="8"/>
      <c r="R92" s="8"/>
      <c r="S92" s="8"/>
      <c r="T92" s="8"/>
      <c r="U92" s="8"/>
      <c r="V92" s="8"/>
      <c r="W92" s="8"/>
      <c r="X92" s="8"/>
      <c r="Y92" s="8"/>
      <c r="Z92" s="8"/>
      <c r="AA92" s="8"/>
      <c r="AB92" s="9" t="str">
        <f t="shared" si="12"/>
        <v/>
      </c>
      <c r="AC92" s="9" t="str">
        <f t="shared" si="13"/>
        <v>없음</v>
      </c>
      <c r="AD92" s="9" t="str">
        <f t="shared" si="14"/>
        <v/>
      </c>
      <c r="AE92" s="9" t="str">
        <f t="shared" si="15"/>
        <v>없음</v>
      </c>
      <c r="AF92" s="9" t="str">
        <f t="shared" si="16"/>
        <v/>
      </c>
      <c r="AG92" s="9" t="str">
        <f t="shared" si="17"/>
        <v>N</v>
      </c>
    </row>
    <row r="93" spans="1:33" ht="110" customHeight="1">
      <c r="A93" s="7" t="s">
        <v>531</v>
      </c>
      <c r="B93" s="7" t="s">
        <v>532</v>
      </c>
      <c r="C93" s="7" t="s">
        <v>533</v>
      </c>
      <c r="D93" s="7" t="s">
        <v>534</v>
      </c>
      <c r="E93" s="7" t="s">
        <v>535</v>
      </c>
      <c r="F93" s="7"/>
      <c r="G93" s="7"/>
      <c r="H93" s="7"/>
      <c r="I93" s="7"/>
      <c r="J93" s="7"/>
      <c r="K93" s="8"/>
      <c r="L93" s="8"/>
      <c r="M93" s="8"/>
      <c r="N93" s="8"/>
      <c r="O93" s="8"/>
      <c r="P93" s="8"/>
      <c r="Q93" s="8"/>
      <c r="R93" s="8"/>
      <c r="S93" s="8"/>
      <c r="T93" s="8"/>
      <c r="U93" s="8"/>
      <c r="V93" s="8"/>
      <c r="W93" s="8"/>
      <c r="X93" s="8"/>
      <c r="Y93" s="8"/>
      <c r="Z93" s="8"/>
      <c r="AA93" s="8"/>
      <c r="AB93" s="9" t="str">
        <f t="shared" si="12"/>
        <v/>
      </c>
      <c r="AC93" s="9" t="str">
        <f t="shared" si="13"/>
        <v>없음</v>
      </c>
      <c r="AD93" s="9" t="str">
        <f t="shared" si="14"/>
        <v/>
      </c>
      <c r="AE93" s="9" t="str">
        <f t="shared" si="15"/>
        <v>없음</v>
      </c>
      <c r="AF93" s="9" t="str">
        <f t="shared" si="16"/>
        <v/>
      </c>
      <c r="AG93" s="9" t="str">
        <f t="shared" si="17"/>
        <v>N</v>
      </c>
    </row>
    <row r="94" spans="1:33" ht="110" customHeight="1">
      <c r="A94" s="7" t="s">
        <v>536</v>
      </c>
      <c r="B94" s="7" t="s">
        <v>537</v>
      </c>
      <c r="C94" s="7" t="s">
        <v>538</v>
      </c>
      <c r="D94" s="7" t="s">
        <v>539</v>
      </c>
      <c r="E94" s="7" t="s">
        <v>540</v>
      </c>
      <c r="F94" s="7" t="s">
        <v>541</v>
      </c>
      <c r="G94" s="7"/>
      <c r="H94" s="7"/>
      <c r="I94" s="7"/>
      <c r="J94" s="7"/>
      <c r="K94" s="8"/>
      <c r="L94" s="8"/>
      <c r="M94" s="8"/>
      <c r="N94" s="8"/>
      <c r="O94" s="8"/>
      <c r="P94" s="8"/>
      <c r="Q94" s="8"/>
      <c r="R94" s="8"/>
      <c r="S94" s="8"/>
      <c r="T94" s="8"/>
      <c r="U94" s="8"/>
      <c r="V94" s="8"/>
      <c r="W94" s="8"/>
      <c r="X94" s="8"/>
      <c r="Y94" s="8"/>
      <c r="Z94" s="8"/>
      <c r="AA94" s="8"/>
      <c r="AB94" s="9" t="str">
        <f t="shared" si="12"/>
        <v/>
      </c>
      <c r="AC94" s="9" t="str">
        <f t="shared" si="13"/>
        <v>없음</v>
      </c>
      <c r="AD94" s="9" t="str">
        <f t="shared" si="14"/>
        <v/>
      </c>
      <c r="AE94" s="9" t="str">
        <f t="shared" si="15"/>
        <v>없음</v>
      </c>
      <c r="AF94" s="9" t="str">
        <f t="shared" si="16"/>
        <v/>
      </c>
      <c r="AG94" s="9" t="str">
        <f t="shared" si="17"/>
        <v>N</v>
      </c>
    </row>
    <row r="95" spans="1:33" ht="110" customHeight="1">
      <c r="A95" s="7" t="s">
        <v>542</v>
      </c>
      <c r="B95" s="7" t="s">
        <v>543</v>
      </c>
      <c r="C95" s="7" t="s">
        <v>544</v>
      </c>
      <c r="D95" s="7" t="s">
        <v>545</v>
      </c>
      <c r="E95" s="7" t="s">
        <v>546</v>
      </c>
      <c r="F95" s="7"/>
      <c r="G95" s="7"/>
      <c r="H95" s="7"/>
      <c r="I95" s="7" t="s">
        <v>547</v>
      </c>
      <c r="J95" s="7"/>
      <c r="K95" s="8"/>
      <c r="L95" s="8"/>
      <c r="M95" s="8"/>
      <c r="N95" s="8"/>
      <c r="O95" s="8"/>
      <c r="P95" s="8"/>
      <c r="Q95" s="8"/>
      <c r="R95" s="8"/>
      <c r="S95" s="8"/>
      <c r="T95" s="8"/>
      <c r="U95" s="8"/>
      <c r="V95" s="8"/>
      <c r="W95" s="8"/>
      <c r="X95" s="8"/>
      <c r="Y95" s="8"/>
      <c r="Z95" s="8"/>
      <c r="AA95" s="8"/>
      <c r="AB95" s="9" t="str">
        <f t="shared" si="12"/>
        <v/>
      </c>
      <c r="AC95" s="9" t="str">
        <f t="shared" si="13"/>
        <v>없음</v>
      </c>
      <c r="AD95" s="9" t="str">
        <f t="shared" si="14"/>
        <v/>
      </c>
      <c r="AE95" s="9" t="str">
        <f t="shared" si="15"/>
        <v>없음</v>
      </c>
      <c r="AF95" s="9" t="str">
        <f t="shared" si="16"/>
        <v/>
      </c>
      <c r="AG95" s="9" t="str">
        <f t="shared" si="17"/>
        <v>N</v>
      </c>
    </row>
    <row r="96" spans="1:33" ht="110" customHeight="1">
      <c r="A96" s="7" t="s">
        <v>548</v>
      </c>
      <c r="B96" s="7" t="s">
        <v>549</v>
      </c>
      <c r="C96" s="7" t="s">
        <v>550</v>
      </c>
      <c r="D96" s="7" t="s">
        <v>551</v>
      </c>
      <c r="E96" s="7" t="s">
        <v>552</v>
      </c>
      <c r="F96" s="7"/>
      <c r="G96" s="7"/>
      <c r="H96" s="7"/>
      <c r="I96" s="7"/>
      <c r="J96" s="7"/>
      <c r="K96" s="8"/>
      <c r="L96" s="8"/>
      <c r="M96" s="8"/>
      <c r="N96" s="8"/>
      <c r="O96" s="8"/>
      <c r="P96" s="8"/>
      <c r="Q96" s="8"/>
      <c r="R96" s="8"/>
      <c r="S96" s="8"/>
      <c r="T96" s="8"/>
      <c r="U96" s="8"/>
      <c r="V96" s="8"/>
      <c r="W96" s="8"/>
      <c r="X96" s="8"/>
      <c r="Y96" s="8"/>
      <c r="Z96" s="8"/>
      <c r="AA96" s="8"/>
      <c r="AB96" s="9" t="str">
        <f t="shared" si="12"/>
        <v/>
      </c>
      <c r="AC96" s="9" t="str">
        <f t="shared" si="13"/>
        <v>없음</v>
      </c>
      <c r="AD96" s="9" t="str">
        <f t="shared" si="14"/>
        <v/>
      </c>
      <c r="AE96" s="9" t="str">
        <f t="shared" si="15"/>
        <v>없음</v>
      </c>
      <c r="AF96" s="9" t="str">
        <f t="shared" si="16"/>
        <v/>
      </c>
      <c r="AG96" s="9" t="str">
        <f t="shared" si="17"/>
        <v>N</v>
      </c>
    </row>
    <row r="97" spans="1:33" ht="110" customHeight="1">
      <c r="A97" s="7" t="s">
        <v>553</v>
      </c>
      <c r="B97" s="7" t="s">
        <v>455</v>
      </c>
      <c r="C97" s="7" t="s">
        <v>554</v>
      </c>
      <c r="D97" s="7" t="s">
        <v>555</v>
      </c>
      <c r="E97" s="7" t="s">
        <v>556</v>
      </c>
      <c r="F97" s="7"/>
      <c r="G97" s="7"/>
      <c r="H97" s="7"/>
      <c r="I97" s="7"/>
      <c r="J97" s="7"/>
      <c r="K97" s="8"/>
      <c r="L97" s="8"/>
      <c r="M97" s="8"/>
      <c r="N97" s="8"/>
      <c r="O97" s="8"/>
      <c r="P97" s="8"/>
      <c r="Q97" s="8"/>
      <c r="R97" s="8"/>
      <c r="S97" s="8"/>
      <c r="T97" s="8"/>
      <c r="U97" s="8"/>
      <c r="V97" s="8"/>
      <c r="W97" s="8"/>
      <c r="X97" s="8"/>
      <c r="Y97" s="8"/>
      <c r="Z97" s="8"/>
      <c r="AA97" s="8"/>
      <c r="AB97" s="9" t="str">
        <f t="shared" si="12"/>
        <v/>
      </c>
      <c r="AC97" s="9" t="str">
        <f t="shared" si="13"/>
        <v>없음</v>
      </c>
      <c r="AD97" s="9" t="str">
        <f t="shared" si="14"/>
        <v/>
      </c>
      <c r="AE97" s="9" t="str">
        <f t="shared" si="15"/>
        <v>없음</v>
      </c>
      <c r="AF97" s="9" t="str">
        <f t="shared" si="16"/>
        <v/>
      </c>
      <c r="AG97" s="9" t="str">
        <f t="shared" si="17"/>
        <v>N</v>
      </c>
    </row>
    <row r="98" spans="1:33" ht="110" customHeight="1">
      <c r="A98" s="7" t="s">
        <v>557</v>
      </c>
      <c r="B98" s="7" t="s">
        <v>391</v>
      </c>
      <c r="C98" s="7" t="s">
        <v>554</v>
      </c>
      <c r="D98" s="7" t="s">
        <v>555</v>
      </c>
      <c r="E98" s="7" t="s">
        <v>558</v>
      </c>
      <c r="F98" s="7" t="s">
        <v>559</v>
      </c>
      <c r="G98" s="7"/>
      <c r="H98" s="7"/>
      <c r="I98" s="7"/>
      <c r="J98" s="7"/>
      <c r="K98" s="8"/>
      <c r="L98" s="8"/>
      <c r="M98" s="8"/>
      <c r="N98" s="8"/>
      <c r="O98" s="8"/>
      <c r="P98" s="8"/>
      <c r="Q98" s="8"/>
      <c r="R98" s="8"/>
      <c r="S98" s="8"/>
      <c r="T98" s="8"/>
      <c r="U98" s="8"/>
      <c r="V98" s="8"/>
      <c r="W98" s="8"/>
      <c r="X98" s="8"/>
      <c r="Y98" s="8"/>
      <c r="Z98" s="8"/>
      <c r="AA98" s="8"/>
      <c r="AB98" s="9" t="str">
        <f t="shared" ref="AB98:AB129" si="18">IF(LEN(IF(K98="Y","규격;","")&amp;IF(L98="Y","가공상태;","")&amp;IF(M98="Y","용도;","")&amp;IF(N98="Y","분류;","")&amp;IF(O98="Y","제품지정;",""))=0,"",LEFT(IF(K98="Y","규격;","")&amp;IF(L98="Y","가공상태;","")&amp;IF(M98="Y","용도;","")&amp;IF(N98="Y","분류;","")&amp;IF(O98="Y","제품지정;",""),LEN(IF(K98="Y","규격;","")&amp;IF(L98="Y","가공상태;","")&amp;IF(M98="Y","용도;","")&amp;IF(N98="Y","분류;","")&amp;IF(O98="Y","제품지정;",""))-1))</f>
        <v/>
      </c>
      <c r="AC98" s="9" t="str">
        <f t="shared" ref="AC98:AC129" si="19">IF(COUNTIF(K98:O98,"Y")=0,"없음",IF(COUNTIF(K98:O98,"Y")&gt;1,"복합",IF(K98="Y","규격",IF(L98="Y","가공상태",IF(M98="Y","용도",IF(N98="Y","분류",IF(O98="Y","제품지정","")))))))</f>
        <v>없음</v>
      </c>
      <c r="AD98" s="9" t="str">
        <f t="shared" ref="AD98:AD129" si="20">IF(LEN(IF(P98="Y","규격;","")&amp;IF(Q98="Y","가공상태;","")&amp;IF(R98="Y","용도;","")&amp;IF(S98="Y","분류;","")&amp;IF(T98="Y","제품지정;",""))=0,"",LEFT(IF(P98="Y","규격;","")&amp;IF(Q98="Y","가공상태;","")&amp;IF(R98="Y","용도;","")&amp;IF(S98="Y","분류;","")&amp;IF(T98="Y","제품지정;",""),LEN(IF(P98="Y","규격;","")&amp;IF(Q98="Y","가공상태;","")&amp;IF(R98="Y","용도;","")&amp;IF(S98="Y","분류;","")&amp;IF(T98="Y","제품지정;",""))-1))</f>
        <v/>
      </c>
      <c r="AE98" s="9" t="str">
        <f t="shared" ref="AE98:AE129" si="21">IF(COUNTIF(P98:T98,"Y")=0,"없음",IF(COUNTIF(P98:T98,"Y")&gt;1,"복합",IF(P98="Y","규격",IF(Q98="Y","가공상태",IF(R98="Y","용도",IF(S98="Y","분류",IF(T98="Y","제품지정","")))))))</f>
        <v>없음</v>
      </c>
      <c r="AF98" s="9" t="str">
        <f t="shared" ref="AF98:AF129" si="22">IF(U98="","",IF(U98="없음","N","Y"))</f>
        <v/>
      </c>
      <c r="AG98" s="9" t="str">
        <f t="shared" ref="AG98:AG129" si="23">IF(OR(M98="Y",R98="Y"),"Y","N")</f>
        <v>N</v>
      </c>
    </row>
    <row r="99" spans="1:33" ht="110" customHeight="1">
      <c r="A99" s="7" t="s">
        <v>560</v>
      </c>
      <c r="B99" s="7" t="s">
        <v>397</v>
      </c>
      <c r="C99" s="7" t="s">
        <v>561</v>
      </c>
      <c r="D99" s="7" t="s">
        <v>562</v>
      </c>
      <c r="E99" s="7" t="s">
        <v>563</v>
      </c>
      <c r="F99" s="7"/>
      <c r="G99" s="7"/>
      <c r="H99" s="7"/>
      <c r="I99" s="7"/>
      <c r="J99" s="7"/>
      <c r="K99" s="8"/>
      <c r="L99" s="8"/>
      <c r="M99" s="8"/>
      <c r="N99" s="8"/>
      <c r="O99" s="8"/>
      <c r="P99" s="8"/>
      <c r="Q99" s="8"/>
      <c r="R99" s="8"/>
      <c r="S99" s="8"/>
      <c r="T99" s="8"/>
      <c r="U99" s="8"/>
      <c r="V99" s="8"/>
      <c r="W99" s="8"/>
      <c r="X99" s="8"/>
      <c r="Y99" s="8"/>
      <c r="Z99" s="8"/>
      <c r="AA99" s="8"/>
      <c r="AB99" s="9" t="str">
        <f t="shared" si="18"/>
        <v/>
      </c>
      <c r="AC99" s="9" t="str">
        <f t="shared" si="19"/>
        <v>없음</v>
      </c>
      <c r="AD99" s="9" t="str">
        <f t="shared" si="20"/>
        <v/>
      </c>
      <c r="AE99" s="9" t="str">
        <f t="shared" si="21"/>
        <v>없음</v>
      </c>
      <c r="AF99" s="9" t="str">
        <f t="shared" si="22"/>
        <v/>
      </c>
      <c r="AG99" s="9" t="str">
        <f t="shared" si="23"/>
        <v>N</v>
      </c>
    </row>
    <row r="100" spans="1:33" ht="110" customHeight="1">
      <c r="A100" s="7" t="s">
        <v>564</v>
      </c>
      <c r="B100" s="7" t="s">
        <v>565</v>
      </c>
      <c r="C100" s="7" t="s">
        <v>566</v>
      </c>
      <c r="D100" s="7" t="s">
        <v>567</v>
      </c>
      <c r="E100" s="7" t="s">
        <v>568</v>
      </c>
      <c r="F100" s="7" t="s">
        <v>569</v>
      </c>
      <c r="G100" s="7"/>
      <c r="H100" s="7"/>
      <c r="I100" s="7"/>
      <c r="J100" s="7"/>
      <c r="K100" s="8"/>
      <c r="L100" s="8"/>
      <c r="M100" s="8"/>
      <c r="N100" s="8"/>
      <c r="O100" s="8"/>
      <c r="P100" s="8"/>
      <c r="Q100" s="8"/>
      <c r="R100" s="8"/>
      <c r="S100" s="8"/>
      <c r="T100" s="8"/>
      <c r="U100" s="8"/>
      <c r="V100" s="8"/>
      <c r="W100" s="8"/>
      <c r="X100" s="8"/>
      <c r="Y100" s="8"/>
      <c r="Z100" s="8"/>
      <c r="AA100" s="8"/>
      <c r="AB100" s="9" t="str">
        <f t="shared" si="18"/>
        <v/>
      </c>
      <c r="AC100" s="9" t="str">
        <f t="shared" si="19"/>
        <v>없음</v>
      </c>
      <c r="AD100" s="9" t="str">
        <f t="shared" si="20"/>
        <v/>
      </c>
      <c r="AE100" s="9" t="str">
        <f t="shared" si="21"/>
        <v>없음</v>
      </c>
      <c r="AF100" s="9" t="str">
        <f t="shared" si="22"/>
        <v/>
      </c>
      <c r="AG100" s="9" t="str">
        <f t="shared" si="23"/>
        <v>N</v>
      </c>
    </row>
    <row r="101" spans="1:33" ht="110" customHeight="1">
      <c r="A101" s="7" t="s">
        <v>570</v>
      </c>
      <c r="B101" s="7" t="s">
        <v>571</v>
      </c>
      <c r="C101" s="7" t="s">
        <v>572</v>
      </c>
      <c r="D101" s="7" t="s">
        <v>573</v>
      </c>
      <c r="E101" s="7" t="s">
        <v>574</v>
      </c>
      <c r="F101" s="7"/>
      <c r="G101" s="7"/>
      <c r="H101" s="7"/>
      <c r="I101" s="7"/>
      <c r="J101" s="7"/>
      <c r="K101" s="8"/>
      <c r="L101" s="8"/>
      <c r="M101" s="8"/>
      <c r="N101" s="8"/>
      <c r="O101" s="8"/>
      <c r="P101" s="8"/>
      <c r="Q101" s="8"/>
      <c r="R101" s="8"/>
      <c r="S101" s="8"/>
      <c r="T101" s="8"/>
      <c r="U101" s="8"/>
      <c r="V101" s="8"/>
      <c r="W101" s="8"/>
      <c r="X101" s="8"/>
      <c r="Y101" s="8"/>
      <c r="Z101" s="8"/>
      <c r="AA101" s="8"/>
      <c r="AB101" s="9" t="str">
        <f t="shared" si="18"/>
        <v/>
      </c>
      <c r="AC101" s="9" t="str">
        <f t="shared" si="19"/>
        <v>없음</v>
      </c>
      <c r="AD101" s="9" t="str">
        <f t="shared" si="20"/>
        <v/>
      </c>
      <c r="AE101" s="9" t="str">
        <f t="shared" si="21"/>
        <v>없음</v>
      </c>
      <c r="AF101" s="9" t="str">
        <f t="shared" si="22"/>
        <v/>
      </c>
      <c r="AG101" s="9" t="str">
        <f t="shared" si="23"/>
        <v>N</v>
      </c>
    </row>
    <row r="102" spans="1:33" ht="110" customHeight="1">
      <c r="A102" s="7" t="s">
        <v>575</v>
      </c>
      <c r="B102" s="7" t="s">
        <v>402</v>
      </c>
      <c r="C102" s="7" t="s">
        <v>572</v>
      </c>
      <c r="D102" s="7" t="s">
        <v>573</v>
      </c>
      <c r="E102" s="7" t="s">
        <v>576</v>
      </c>
      <c r="F102" s="7"/>
      <c r="G102" s="7"/>
      <c r="H102" s="7"/>
      <c r="I102" s="7"/>
      <c r="J102" s="7"/>
      <c r="K102" s="8"/>
      <c r="L102" s="8"/>
      <c r="M102" s="8"/>
      <c r="N102" s="8"/>
      <c r="O102" s="8"/>
      <c r="P102" s="8"/>
      <c r="Q102" s="8"/>
      <c r="R102" s="8"/>
      <c r="S102" s="8"/>
      <c r="T102" s="8"/>
      <c r="U102" s="8"/>
      <c r="V102" s="8"/>
      <c r="W102" s="8"/>
      <c r="X102" s="8"/>
      <c r="Y102" s="8"/>
      <c r="Z102" s="8"/>
      <c r="AA102" s="8"/>
      <c r="AB102" s="9" t="str">
        <f t="shared" si="18"/>
        <v/>
      </c>
      <c r="AC102" s="9" t="str">
        <f t="shared" si="19"/>
        <v>없음</v>
      </c>
      <c r="AD102" s="9" t="str">
        <f t="shared" si="20"/>
        <v/>
      </c>
      <c r="AE102" s="9" t="str">
        <f t="shared" si="21"/>
        <v>없음</v>
      </c>
      <c r="AF102" s="9" t="str">
        <f t="shared" si="22"/>
        <v/>
      </c>
      <c r="AG102" s="9" t="str">
        <f t="shared" si="23"/>
        <v>N</v>
      </c>
    </row>
    <row r="103" spans="1:33" ht="110" customHeight="1">
      <c r="A103" s="7" t="s">
        <v>577</v>
      </c>
      <c r="B103" s="7" t="s">
        <v>448</v>
      </c>
      <c r="C103" s="7" t="s">
        <v>578</v>
      </c>
      <c r="D103" s="7" t="s">
        <v>579</v>
      </c>
      <c r="E103" s="7" t="s">
        <v>580</v>
      </c>
      <c r="F103" s="7" t="s">
        <v>581</v>
      </c>
      <c r="G103" s="7" t="s">
        <v>582</v>
      </c>
      <c r="H103" s="7"/>
      <c r="I103" s="7"/>
      <c r="J103" s="7"/>
      <c r="K103" s="8"/>
      <c r="L103" s="8"/>
      <c r="M103" s="8"/>
      <c r="N103" s="8"/>
      <c r="O103" s="8"/>
      <c r="P103" s="8"/>
      <c r="Q103" s="8"/>
      <c r="R103" s="8"/>
      <c r="S103" s="8"/>
      <c r="T103" s="8"/>
      <c r="U103" s="8"/>
      <c r="V103" s="8"/>
      <c r="W103" s="8"/>
      <c r="X103" s="8"/>
      <c r="Y103" s="8"/>
      <c r="Z103" s="8"/>
      <c r="AA103" s="8"/>
      <c r="AB103" s="9" t="str">
        <f t="shared" si="18"/>
        <v/>
      </c>
      <c r="AC103" s="9" t="str">
        <f t="shared" si="19"/>
        <v>없음</v>
      </c>
      <c r="AD103" s="9" t="str">
        <f t="shared" si="20"/>
        <v/>
      </c>
      <c r="AE103" s="9" t="str">
        <f t="shared" si="21"/>
        <v>없음</v>
      </c>
      <c r="AF103" s="9" t="str">
        <f t="shared" si="22"/>
        <v/>
      </c>
      <c r="AG103" s="9" t="str">
        <f t="shared" si="23"/>
        <v>N</v>
      </c>
    </row>
    <row r="104" spans="1:33" ht="110" customHeight="1">
      <c r="A104" s="7" t="s">
        <v>583</v>
      </c>
      <c r="B104" s="7" t="s">
        <v>584</v>
      </c>
      <c r="C104" s="7" t="s">
        <v>585</v>
      </c>
      <c r="D104" s="7" t="s">
        <v>586</v>
      </c>
      <c r="E104" s="7" t="s">
        <v>587</v>
      </c>
      <c r="F104" s="7" t="s">
        <v>581</v>
      </c>
      <c r="G104" s="7" t="s">
        <v>588</v>
      </c>
      <c r="H104" s="7"/>
      <c r="I104" s="7"/>
      <c r="J104" s="7"/>
      <c r="K104" s="8"/>
      <c r="L104" s="8"/>
      <c r="M104" s="8"/>
      <c r="N104" s="8"/>
      <c r="O104" s="8"/>
      <c r="P104" s="8"/>
      <c r="Q104" s="8"/>
      <c r="R104" s="8"/>
      <c r="S104" s="8"/>
      <c r="T104" s="8"/>
      <c r="U104" s="8"/>
      <c r="V104" s="8"/>
      <c r="W104" s="8"/>
      <c r="X104" s="8"/>
      <c r="Y104" s="8"/>
      <c r="Z104" s="8"/>
      <c r="AA104" s="8"/>
      <c r="AB104" s="9" t="str">
        <f t="shared" si="18"/>
        <v/>
      </c>
      <c r="AC104" s="9" t="str">
        <f t="shared" si="19"/>
        <v>없음</v>
      </c>
      <c r="AD104" s="9" t="str">
        <f t="shared" si="20"/>
        <v/>
      </c>
      <c r="AE104" s="9" t="str">
        <f t="shared" si="21"/>
        <v>없음</v>
      </c>
      <c r="AF104" s="9" t="str">
        <f t="shared" si="22"/>
        <v/>
      </c>
      <c r="AG104" s="9" t="str">
        <f t="shared" si="23"/>
        <v>N</v>
      </c>
    </row>
    <row r="105" spans="1:33" ht="110" customHeight="1">
      <c r="A105" s="7" t="s">
        <v>589</v>
      </c>
      <c r="B105" s="7" t="s">
        <v>383</v>
      </c>
      <c r="C105" s="7" t="s">
        <v>590</v>
      </c>
      <c r="D105" s="7" t="s">
        <v>591</v>
      </c>
      <c r="E105" s="7" t="s">
        <v>592</v>
      </c>
      <c r="F105" s="7" t="s">
        <v>593</v>
      </c>
      <c r="G105" s="7" t="s">
        <v>594</v>
      </c>
      <c r="H105" s="7"/>
      <c r="I105" s="7"/>
      <c r="J105" s="7"/>
      <c r="K105" s="8"/>
      <c r="L105" s="8"/>
      <c r="M105" s="8"/>
      <c r="N105" s="8"/>
      <c r="O105" s="8"/>
      <c r="P105" s="8"/>
      <c r="Q105" s="8"/>
      <c r="R105" s="8"/>
      <c r="S105" s="8"/>
      <c r="T105" s="8"/>
      <c r="U105" s="8"/>
      <c r="V105" s="8"/>
      <c r="W105" s="8"/>
      <c r="X105" s="8"/>
      <c r="Y105" s="8"/>
      <c r="Z105" s="8"/>
      <c r="AA105" s="8"/>
      <c r="AB105" s="9" t="str">
        <f t="shared" si="18"/>
        <v/>
      </c>
      <c r="AC105" s="9" t="str">
        <f t="shared" si="19"/>
        <v>없음</v>
      </c>
      <c r="AD105" s="9" t="str">
        <f t="shared" si="20"/>
        <v/>
      </c>
      <c r="AE105" s="9" t="str">
        <f t="shared" si="21"/>
        <v>없음</v>
      </c>
      <c r="AF105" s="9" t="str">
        <f t="shared" si="22"/>
        <v/>
      </c>
      <c r="AG105" s="9" t="str">
        <f t="shared" si="23"/>
        <v>N</v>
      </c>
    </row>
    <row r="106" spans="1:33" ht="110" customHeight="1">
      <c r="A106" s="7" t="s">
        <v>595</v>
      </c>
      <c r="B106" s="7" t="s">
        <v>378</v>
      </c>
      <c r="C106" s="7" t="s">
        <v>596</v>
      </c>
      <c r="D106" s="7" t="s">
        <v>597</v>
      </c>
      <c r="E106" s="7" t="s">
        <v>516</v>
      </c>
      <c r="F106" s="7"/>
      <c r="G106" s="7"/>
      <c r="H106" s="7"/>
      <c r="I106" s="7"/>
      <c r="J106" s="7"/>
      <c r="K106" s="8"/>
      <c r="L106" s="8"/>
      <c r="M106" s="8"/>
      <c r="N106" s="8"/>
      <c r="O106" s="8"/>
      <c r="P106" s="8"/>
      <c r="Q106" s="8"/>
      <c r="R106" s="8"/>
      <c r="S106" s="8"/>
      <c r="T106" s="8"/>
      <c r="U106" s="8"/>
      <c r="V106" s="8"/>
      <c r="W106" s="8"/>
      <c r="X106" s="8"/>
      <c r="Y106" s="8"/>
      <c r="Z106" s="8"/>
      <c r="AA106" s="8"/>
      <c r="AB106" s="9" t="str">
        <f t="shared" si="18"/>
        <v/>
      </c>
      <c r="AC106" s="9" t="str">
        <f t="shared" si="19"/>
        <v>없음</v>
      </c>
      <c r="AD106" s="9" t="str">
        <f t="shared" si="20"/>
        <v/>
      </c>
      <c r="AE106" s="9" t="str">
        <f t="shared" si="21"/>
        <v>없음</v>
      </c>
      <c r="AF106" s="9" t="str">
        <f t="shared" si="22"/>
        <v/>
      </c>
      <c r="AG106" s="9" t="str">
        <f t="shared" si="23"/>
        <v>N</v>
      </c>
    </row>
    <row r="107" spans="1:33" ht="110" customHeight="1">
      <c r="A107" s="7" t="s">
        <v>598</v>
      </c>
      <c r="B107" s="7" t="s">
        <v>599</v>
      </c>
      <c r="C107" s="7" t="s">
        <v>596</v>
      </c>
      <c r="D107" s="7" t="s">
        <v>545</v>
      </c>
      <c r="E107" s="7" t="s">
        <v>600</v>
      </c>
      <c r="F107" s="7"/>
      <c r="G107" s="7"/>
      <c r="H107" s="7"/>
      <c r="I107" s="7" t="s">
        <v>601</v>
      </c>
      <c r="J107" s="7"/>
      <c r="K107" s="8"/>
      <c r="L107" s="8"/>
      <c r="M107" s="8"/>
      <c r="N107" s="8"/>
      <c r="O107" s="8"/>
      <c r="P107" s="8"/>
      <c r="Q107" s="8"/>
      <c r="R107" s="8"/>
      <c r="S107" s="8"/>
      <c r="T107" s="8"/>
      <c r="U107" s="8"/>
      <c r="V107" s="8"/>
      <c r="W107" s="8"/>
      <c r="X107" s="8"/>
      <c r="Y107" s="8"/>
      <c r="Z107" s="8"/>
      <c r="AA107" s="8"/>
      <c r="AB107" s="9" t="str">
        <f t="shared" si="18"/>
        <v/>
      </c>
      <c r="AC107" s="9" t="str">
        <f t="shared" si="19"/>
        <v>없음</v>
      </c>
      <c r="AD107" s="9" t="str">
        <f t="shared" si="20"/>
        <v/>
      </c>
      <c r="AE107" s="9" t="str">
        <f t="shared" si="21"/>
        <v>없음</v>
      </c>
      <c r="AF107" s="9" t="str">
        <f t="shared" si="22"/>
        <v/>
      </c>
      <c r="AG107" s="9" t="str">
        <f t="shared" si="23"/>
        <v>N</v>
      </c>
    </row>
    <row r="108" spans="1:33" ht="110" customHeight="1">
      <c r="A108" s="7" t="s">
        <v>602</v>
      </c>
      <c r="B108" s="7" t="s">
        <v>603</v>
      </c>
      <c r="C108" s="7" t="s">
        <v>596</v>
      </c>
      <c r="D108" s="7" t="s">
        <v>545</v>
      </c>
      <c r="E108" s="7" t="s">
        <v>604</v>
      </c>
      <c r="F108" s="7"/>
      <c r="G108" s="7"/>
      <c r="H108" s="7"/>
      <c r="I108" s="7" t="s">
        <v>605</v>
      </c>
      <c r="J108" s="7"/>
      <c r="K108" s="8"/>
      <c r="L108" s="8"/>
      <c r="M108" s="8"/>
      <c r="N108" s="8"/>
      <c r="O108" s="8"/>
      <c r="P108" s="8"/>
      <c r="Q108" s="8"/>
      <c r="R108" s="8"/>
      <c r="S108" s="8"/>
      <c r="T108" s="8"/>
      <c r="U108" s="8"/>
      <c r="V108" s="8"/>
      <c r="W108" s="8"/>
      <c r="X108" s="8"/>
      <c r="Y108" s="8"/>
      <c r="Z108" s="8"/>
      <c r="AA108" s="8"/>
      <c r="AB108" s="9" t="str">
        <f t="shared" si="18"/>
        <v/>
      </c>
      <c r="AC108" s="9" t="str">
        <f t="shared" si="19"/>
        <v>없음</v>
      </c>
      <c r="AD108" s="9" t="str">
        <f t="shared" si="20"/>
        <v/>
      </c>
      <c r="AE108" s="9" t="str">
        <f t="shared" si="21"/>
        <v>없음</v>
      </c>
      <c r="AF108" s="9" t="str">
        <f t="shared" si="22"/>
        <v/>
      </c>
      <c r="AG108" s="9" t="str">
        <f t="shared" si="23"/>
        <v>N</v>
      </c>
    </row>
    <row r="109" spans="1:33" ht="110" customHeight="1">
      <c r="A109" s="7" t="s">
        <v>606</v>
      </c>
      <c r="B109" s="7" t="s">
        <v>437</v>
      </c>
      <c r="C109" s="7" t="s">
        <v>596</v>
      </c>
      <c r="D109" s="7" t="s">
        <v>597</v>
      </c>
      <c r="E109" s="7" t="s">
        <v>518</v>
      </c>
      <c r="F109" s="7"/>
      <c r="G109" s="7"/>
      <c r="H109" s="7"/>
      <c r="I109" s="7"/>
      <c r="J109" s="7"/>
      <c r="K109" s="8"/>
      <c r="L109" s="8"/>
      <c r="M109" s="8"/>
      <c r="N109" s="8"/>
      <c r="O109" s="8"/>
      <c r="P109" s="8"/>
      <c r="Q109" s="8"/>
      <c r="R109" s="8"/>
      <c r="S109" s="8"/>
      <c r="T109" s="8"/>
      <c r="U109" s="8"/>
      <c r="V109" s="8"/>
      <c r="W109" s="8"/>
      <c r="X109" s="8"/>
      <c r="Y109" s="8"/>
      <c r="Z109" s="8"/>
      <c r="AA109" s="8"/>
      <c r="AB109" s="9" t="str">
        <f t="shared" si="18"/>
        <v/>
      </c>
      <c r="AC109" s="9" t="str">
        <f t="shared" si="19"/>
        <v>없음</v>
      </c>
      <c r="AD109" s="9" t="str">
        <f t="shared" si="20"/>
        <v/>
      </c>
      <c r="AE109" s="9" t="str">
        <f t="shared" si="21"/>
        <v>없음</v>
      </c>
      <c r="AF109" s="9" t="str">
        <f t="shared" si="22"/>
        <v/>
      </c>
      <c r="AG109" s="9" t="str">
        <f t="shared" si="23"/>
        <v>N</v>
      </c>
    </row>
    <row r="110" spans="1:33" ht="110" customHeight="1">
      <c r="A110" s="7" t="s">
        <v>607</v>
      </c>
      <c r="B110" s="7" t="s">
        <v>359</v>
      </c>
      <c r="C110" s="7" t="s">
        <v>608</v>
      </c>
      <c r="D110" s="7" t="s">
        <v>609</v>
      </c>
      <c r="E110" s="7" t="s">
        <v>610</v>
      </c>
      <c r="F110" s="7" t="s">
        <v>611</v>
      </c>
      <c r="G110" s="7" t="s">
        <v>612</v>
      </c>
      <c r="H110" s="7"/>
      <c r="I110" s="7"/>
      <c r="J110" s="7"/>
      <c r="K110" s="8"/>
      <c r="L110" s="8"/>
      <c r="M110" s="8"/>
      <c r="N110" s="8"/>
      <c r="O110" s="8"/>
      <c r="P110" s="8"/>
      <c r="Q110" s="8"/>
      <c r="R110" s="8"/>
      <c r="S110" s="8"/>
      <c r="T110" s="8"/>
      <c r="U110" s="8"/>
      <c r="V110" s="8"/>
      <c r="W110" s="8"/>
      <c r="X110" s="8"/>
      <c r="Y110" s="8"/>
      <c r="Z110" s="8"/>
      <c r="AA110" s="8"/>
      <c r="AB110" s="9" t="str">
        <f t="shared" si="18"/>
        <v/>
      </c>
      <c r="AC110" s="9" t="str">
        <f t="shared" si="19"/>
        <v>없음</v>
      </c>
      <c r="AD110" s="9" t="str">
        <f t="shared" si="20"/>
        <v/>
      </c>
      <c r="AE110" s="9" t="str">
        <f t="shared" si="21"/>
        <v>없음</v>
      </c>
      <c r="AF110" s="9" t="str">
        <f t="shared" si="22"/>
        <v/>
      </c>
      <c r="AG110" s="9" t="str">
        <f t="shared" si="23"/>
        <v>N</v>
      </c>
    </row>
    <row r="111" spans="1:33" ht="110" customHeight="1">
      <c r="A111" s="7" t="s">
        <v>613</v>
      </c>
      <c r="B111" s="7" t="s">
        <v>473</v>
      </c>
      <c r="C111" s="7" t="s">
        <v>614</v>
      </c>
      <c r="D111" s="7" t="s">
        <v>615</v>
      </c>
      <c r="E111" s="7" t="s">
        <v>616</v>
      </c>
      <c r="F111" s="7"/>
      <c r="G111" s="7" t="s">
        <v>617</v>
      </c>
      <c r="H111" s="7"/>
      <c r="I111" s="7"/>
      <c r="J111" s="7"/>
      <c r="K111" s="8"/>
      <c r="L111" s="8"/>
      <c r="M111" s="8"/>
      <c r="N111" s="8"/>
      <c r="O111" s="8"/>
      <c r="P111" s="8"/>
      <c r="Q111" s="8"/>
      <c r="R111" s="8"/>
      <c r="S111" s="8"/>
      <c r="T111" s="8"/>
      <c r="U111" s="8"/>
      <c r="V111" s="8"/>
      <c r="W111" s="8"/>
      <c r="X111" s="8"/>
      <c r="Y111" s="8"/>
      <c r="Z111" s="8"/>
      <c r="AA111" s="8"/>
      <c r="AB111" s="9" t="str">
        <f t="shared" si="18"/>
        <v/>
      </c>
      <c r="AC111" s="9" t="str">
        <f t="shared" si="19"/>
        <v>없음</v>
      </c>
      <c r="AD111" s="9" t="str">
        <f t="shared" si="20"/>
        <v/>
      </c>
      <c r="AE111" s="9" t="str">
        <f t="shared" si="21"/>
        <v>없음</v>
      </c>
      <c r="AF111" s="9" t="str">
        <f t="shared" si="22"/>
        <v/>
      </c>
      <c r="AG111" s="9" t="str">
        <f t="shared" si="23"/>
        <v>N</v>
      </c>
    </row>
    <row r="112" spans="1:33" ht="110" customHeight="1">
      <c r="A112" s="7" t="s">
        <v>618</v>
      </c>
      <c r="B112" s="7" t="s">
        <v>526</v>
      </c>
      <c r="C112" s="7" t="s">
        <v>619</v>
      </c>
      <c r="D112" s="7" t="s">
        <v>545</v>
      </c>
      <c r="E112" s="7" t="s">
        <v>620</v>
      </c>
      <c r="F112" s="7" t="s">
        <v>621</v>
      </c>
      <c r="G112" s="7"/>
      <c r="H112" s="7"/>
      <c r="I112" s="7" t="s">
        <v>622</v>
      </c>
      <c r="J112" s="7"/>
      <c r="K112" s="8"/>
      <c r="L112" s="8"/>
      <c r="M112" s="8"/>
      <c r="N112" s="8"/>
      <c r="O112" s="8"/>
      <c r="P112" s="8"/>
      <c r="Q112" s="8"/>
      <c r="R112" s="8"/>
      <c r="S112" s="8"/>
      <c r="T112" s="8"/>
      <c r="U112" s="8"/>
      <c r="V112" s="8"/>
      <c r="W112" s="8"/>
      <c r="X112" s="8"/>
      <c r="Y112" s="8"/>
      <c r="Z112" s="8"/>
      <c r="AA112" s="8"/>
      <c r="AB112" s="9" t="str">
        <f t="shared" si="18"/>
        <v/>
      </c>
      <c r="AC112" s="9" t="str">
        <f t="shared" si="19"/>
        <v>없음</v>
      </c>
      <c r="AD112" s="9" t="str">
        <f t="shared" si="20"/>
        <v/>
      </c>
      <c r="AE112" s="9" t="str">
        <f t="shared" si="21"/>
        <v>없음</v>
      </c>
      <c r="AF112" s="9" t="str">
        <f t="shared" si="22"/>
        <v/>
      </c>
      <c r="AG112" s="9" t="str">
        <f t="shared" si="23"/>
        <v>N</v>
      </c>
    </row>
    <row r="113" spans="1:33" ht="110" customHeight="1">
      <c r="A113" s="7" t="s">
        <v>623</v>
      </c>
      <c r="B113" s="7" t="s">
        <v>624</v>
      </c>
      <c r="C113" s="7" t="s">
        <v>625</v>
      </c>
      <c r="D113" s="7" t="s">
        <v>626</v>
      </c>
      <c r="E113" s="7" t="s">
        <v>627</v>
      </c>
      <c r="F113" s="7" t="s">
        <v>628</v>
      </c>
      <c r="G113" s="7" t="s">
        <v>629</v>
      </c>
      <c r="H113" s="7"/>
      <c r="I113" s="7"/>
      <c r="J113" s="7"/>
      <c r="K113" s="8"/>
      <c r="L113" s="8"/>
      <c r="M113" s="8"/>
      <c r="N113" s="8"/>
      <c r="O113" s="8"/>
      <c r="P113" s="8"/>
      <c r="Q113" s="8"/>
      <c r="R113" s="8"/>
      <c r="S113" s="8"/>
      <c r="T113" s="8"/>
      <c r="U113" s="8"/>
      <c r="V113" s="8"/>
      <c r="W113" s="8"/>
      <c r="X113" s="8"/>
      <c r="Y113" s="8"/>
      <c r="Z113" s="8"/>
      <c r="AA113" s="8"/>
      <c r="AB113" s="9" t="str">
        <f t="shared" si="18"/>
        <v/>
      </c>
      <c r="AC113" s="9" t="str">
        <f t="shared" si="19"/>
        <v>없음</v>
      </c>
      <c r="AD113" s="9" t="str">
        <f t="shared" si="20"/>
        <v/>
      </c>
      <c r="AE113" s="9" t="str">
        <f t="shared" si="21"/>
        <v>없음</v>
      </c>
      <c r="AF113" s="9" t="str">
        <f t="shared" si="22"/>
        <v/>
      </c>
      <c r="AG113" s="9" t="str">
        <f t="shared" si="23"/>
        <v>N</v>
      </c>
    </row>
    <row r="114" spans="1:33" ht="110" customHeight="1">
      <c r="A114" s="7" t="s">
        <v>630</v>
      </c>
      <c r="B114" s="7" t="s">
        <v>631</v>
      </c>
      <c r="C114" s="7" t="s">
        <v>632</v>
      </c>
      <c r="D114" s="7" t="s">
        <v>633</v>
      </c>
      <c r="E114" s="7" t="s">
        <v>634</v>
      </c>
      <c r="F114" s="7" t="s">
        <v>635</v>
      </c>
      <c r="G114" s="7"/>
      <c r="H114" s="7"/>
      <c r="I114" s="7"/>
      <c r="J114" s="7"/>
      <c r="K114" s="8"/>
      <c r="L114" s="8"/>
      <c r="M114" s="8"/>
      <c r="N114" s="8"/>
      <c r="O114" s="8"/>
      <c r="P114" s="8"/>
      <c r="Q114" s="8"/>
      <c r="R114" s="8"/>
      <c r="S114" s="8"/>
      <c r="T114" s="8"/>
      <c r="U114" s="8"/>
      <c r="V114" s="8"/>
      <c r="W114" s="8"/>
      <c r="X114" s="8"/>
      <c r="Y114" s="8"/>
      <c r="Z114" s="8"/>
      <c r="AA114" s="8"/>
      <c r="AB114" s="9" t="str">
        <f t="shared" si="18"/>
        <v/>
      </c>
      <c r="AC114" s="9" t="str">
        <f t="shared" si="19"/>
        <v>없음</v>
      </c>
      <c r="AD114" s="9" t="str">
        <f t="shared" si="20"/>
        <v/>
      </c>
      <c r="AE114" s="9" t="str">
        <f t="shared" si="21"/>
        <v>없음</v>
      </c>
      <c r="AF114" s="9" t="str">
        <f t="shared" si="22"/>
        <v/>
      </c>
      <c r="AG114" s="9" t="str">
        <f t="shared" si="23"/>
        <v>N</v>
      </c>
    </row>
    <row r="115" spans="1:33" ht="110" customHeight="1">
      <c r="A115" s="7" t="s">
        <v>636</v>
      </c>
      <c r="B115" s="7" t="s">
        <v>637</v>
      </c>
      <c r="C115" s="7" t="s">
        <v>638</v>
      </c>
      <c r="D115" s="7" t="s">
        <v>639</v>
      </c>
      <c r="E115" s="7" t="s">
        <v>640</v>
      </c>
      <c r="F115" s="7"/>
      <c r="G115" s="7"/>
      <c r="H115" s="7"/>
      <c r="I115" s="7"/>
      <c r="J115" s="7"/>
      <c r="K115" s="8"/>
      <c r="L115" s="8"/>
      <c r="M115" s="8"/>
      <c r="N115" s="8"/>
      <c r="O115" s="8"/>
      <c r="P115" s="8"/>
      <c r="Q115" s="8"/>
      <c r="R115" s="8"/>
      <c r="S115" s="8"/>
      <c r="T115" s="8"/>
      <c r="U115" s="8"/>
      <c r="V115" s="8"/>
      <c r="W115" s="8"/>
      <c r="X115" s="8"/>
      <c r="Y115" s="8"/>
      <c r="Z115" s="8"/>
      <c r="AA115" s="8"/>
      <c r="AB115" s="9" t="str">
        <f t="shared" si="18"/>
        <v/>
      </c>
      <c r="AC115" s="9" t="str">
        <f t="shared" si="19"/>
        <v>없음</v>
      </c>
      <c r="AD115" s="9" t="str">
        <f t="shared" si="20"/>
        <v/>
      </c>
      <c r="AE115" s="9" t="str">
        <f t="shared" si="21"/>
        <v>없음</v>
      </c>
      <c r="AF115" s="9" t="str">
        <f t="shared" si="22"/>
        <v/>
      </c>
      <c r="AG115" s="9" t="str">
        <f t="shared" si="23"/>
        <v>N</v>
      </c>
    </row>
    <row r="116" spans="1:33" ht="110" customHeight="1">
      <c r="A116" s="7" t="s">
        <v>641</v>
      </c>
      <c r="B116" s="7" t="s">
        <v>391</v>
      </c>
      <c r="C116" s="7" t="s">
        <v>642</v>
      </c>
      <c r="D116" s="7" t="s">
        <v>643</v>
      </c>
      <c r="E116" s="7" t="s">
        <v>644</v>
      </c>
      <c r="F116" s="7" t="s">
        <v>645</v>
      </c>
      <c r="G116" s="7"/>
      <c r="H116" s="7"/>
      <c r="I116" s="7"/>
      <c r="J116" s="7"/>
      <c r="K116" s="8"/>
      <c r="L116" s="8"/>
      <c r="M116" s="8"/>
      <c r="N116" s="8"/>
      <c r="O116" s="8"/>
      <c r="P116" s="8"/>
      <c r="Q116" s="8"/>
      <c r="R116" s="8"/>
      <c r="S116" s="8"/>
      <c r="T116" s="8"/>
      <c r="U116" s="8"/>
      <c r="V116" s="8"/>
      <c r="W116" s="8"/>
      <c r="X116" s="8"/>
      <c r="Y116" s="8"/>
      <c r="Z116" s="8"/>
      <c r="AA116" s="8"/>
      <c r="AB116" s="9" t="str">
        <f t="shared" si="18"/>
        <v/>
      </c>
      <c r="AC116" s="9" t="str">
        <f t="shared" si="19"/>
        <v>없음</v>
      </c>
      <c r="AD116" s="9" t="str">
        <f t="shared" si="20"/>
        <v/>
      </c>
      <c r="AE116" s="9" t="str">
        <f t="shared" si="21"/>
        <v>없음</v>
      </c>
      <c r="AF116" s="9" t="str">
        <f t="shared" si="22"/>
        <v/>
      </c>
      <c r="AG116" s="9" t="str">
        <f t="shared" si="23"/>
        <v>N</v>
      </c>
    </row>
    <row r="117" spans="1:33" ht="110" customHeight="1">
      <c r="A117" s="7" t="s">
        <v>646</v>
      </c>
      <c r="B117" s="7" t="s">
        <v>647</v>
      </c>
      <c r="C117" s="7" t="s">
        <v>648</v>
      </c>
      <c r="D117" s="7" t="s">
        <v>649</v>
      </c>
      <c r="E117" s="7" t="s">
        <v>650</v>
      </c>
      <c r="F117" s="7"/>
      <c r="G117" s="7"/>
      <c r="H117" s="7"/>
      <c r="I117" s="7"/>
      <c r="J117" s="7"/>
      <c r="K117" s="8"/>
      <c r="L117" s="8"/>
      <c r="M117" s="8"/>
      <c r="N117" s="8"/>
      <c r="O117" s="8"/>
      <c r="P117" s="8"/>
      <c r="Q117" s="8"/>
      <c r="R117" s="8"/>
      <c r="S117" s="8"/>
      <c r="T117" s="8"/>
      <c r="U117" s="8"/>
      <c r="V117" s="8"/>
      <c r="W117" s="8"/>
      <c r="X117" s="8"/>
      <c r="Y117" s="8"/>
      <c r="Z117" s="8"/>
      <c r="AA117" s="8"/>
      <c r="AB117" s="9" t="str">
        <f t="shared" si="18"/>
        <v/>
      </c>
      <c r="AC117" s="9" t="str">
        <f t="shared" si="19"/>
        <v>없음</v>
      </c>
      <c r="AD117" s="9" t="str">
        <f t="shared" si="20"/>
        <v/>
      </c>
      <c r="AE117" s="9" t="str">
        <f t="shared" si="21"/>
        <v>없음</v>
      </c>
      <c r="AF117" s="9" t="str">
        <f t="shared" si="22"/>
        <v/>
      </c>
      <c r="AG117" s="9" t="str">
        <f t="shared" si="23"/>
        <v>N</v>
      </c>
    </row>
    <row r="118" spans="1:33" ht="110" customHeight="1">
      <c r="A118" s="7" t="s">
        <v>651</v>
      </c>
      <c r="B118" s="7" t="s">
        <v>652</v>
      </c>
      <c r="C118" s="7" t="s">
        <v>653</v>
      </c>
      <c r="D118" s="7" t="s">
        <v>654</v>
      </c>
      <c r="E118" s="7" t="s">
        <v>655</v>
      </c>
      <c r="F118" s="7"/>
      <c r="G118" s="7"/>
      <c r="H118" s="7"/>
      <c r="I118" s="7"/>
      <c r="J118" s="7"/>
      <c r="K118" s="8"/>
      <c r="L118" s="8"/>
      <c r="M118" s="8"/>
      <c r="N118" s="8"/>
      <c r="O118" s="8"/>
      <c r="P118" s="8"/>
      <c r="Q118" s="8"/>
      <c r="R118" s="8"/>
      <c r="S118" s="8"/>
      <c r="T118" s="8"/>
      <c r="U118" s="8"/>
      <c r="V118" s="8"/>
      <c r="W118" s="8"/>
      <c r="X118" s="8"/>
      <c r="Y118" s="8"/>
      <c r="Z118" s="8"/>
      <c r="AA118" s="8"/>
      <c r="AB118" s="9" t="str">
        <f t="shared" si="18"/>
        <v/>
      </c>
      <c r="AC118" s="9" t="str">
        <f t="shared" si="19"/>
        <v>없음</v>
      </c>
      <c r="AD118" s="9" t="str">
        <f t="shared" si="20"/>
        <v/>
      </c>
      <c r="AE118" s="9" t="str">
        <f t="shared" si="21"/>
        <v>없음</v>
      </c>
      <c r="AF118" s="9" t="str">
        <f t="shared" si="22"/>
        <v/>
      </c>
      <c r="AG118" s="9" t="str">
        <f t="shared" si="23"/>
        <v>N</v>
      </c>
    </row>
    <row r="119" spans="1:33" ht="110" customHeight="1">
      <c r="A119" s="7" t="s">
        <v>656</v>
      </c>
      <c r="B119" s="7" t="s">
        <v>657</v>
      </c>
      <c r="C119" s="7" t="s">
        <v>658</v>
      </c>
      <c r="D119" s="7" t="s">
        <v>659</v>
      </c>
      <c r="E119" s="7" t="s">
        <v>660</v>
      </c>
      <c r="F119" s="7" t="s">
        <v>661</v>
      </c>
      <c r="G119" s="7"/>
      <c r="H119" s="7"/>
      <c r="I119" s="7"/>
      <c r="J119" s="7"/>
      <c r="K119" s="8"/>
      <c r="L119" s="8"/>
      <c r="M119" s="8"/>
      <c r="N119" s="8"/>
      <c r="O119" s="8"/>
      <c r="P119" s="8"/>
      <c r="Q119" s="8"/>
      <c r="R119" s="8"/>
      <c r="S119" s="8"/>
      <c r="T119" s="8"/>
      <c r="U119" s="8"/>
      <c r="V119" s="8"/>
      <c r="W119" s="8"/>
      <c r="X119" s="8"/>
      <c r="Y119" s="8"/>
      <c r="Z119" s="8"/>
      <c r="AA119" s="8"/>
      <c r="AB119" s="9" t="str">
        <f t="shared" si="18"/>
        <v/>
      </c>
      <c r="AC119" s="9" t="str">
        <f t="shared" si="19"/>
        <v>없음</v>
      </c>
      <c r="AD119" s="9" t="str">
        <f t="shared" si="20"/>
        <v/>
      </c>
      <c r="AE119" s="9" t="str">
        <f t="shared" si="21"/>
        <v>없음</v>
      </c>
      <c r="AF119" s="9" t="str">
        <f t="shared" si="22"/>
        <v/>
      </c>
      <c r="AG119" s="9" t="str">
        <f t="shared" si="23"/>
        <v>N</v>
      </c>
    </row>
    <row r="120" spans="1:33" ht="110" customHeight="1">
      <c r="A120" s="7" t="s">
        <v>662</v>
      </c>
      <c r="B120" s="7" t="s">
        <v>663</v>
      </c>
      <c r="C120" s="7" t="s">
        <v>664</v>
      </c>
      <c r="D120" s="7" t="s">
        <v>665</v>
      </c>
      <c r="E120" s="7" t="s">
        <v>666</v>
      </c>
      <c r="F120" s="7" t="s">
        <v>667</v>
      </c>
      <c r="G120" s="7"/>
      <c r="H120" s="7"/>
      <c r="I120" s="7"/>
      <c r="J120" s="7"/>
      <c r="K120" s="8"/>
      <c r="L120" s="8"/>
      <c r="M120" s="8"/>
      <c r="N120" s="8"/>
      <c r="O120" s="8"/>
      <c r="P120" s="8"/>
      <c r="Q120" s="8"/>
      <c r="R120" s="8"/>
      <c r="S120" s="8"/>
      <c r="T120" s="8"/>
      <c r="U120" s="8"/>
      <c r="V120" s="8"/>
      <c r="W120" s="8"/>
      <c r="X120" s="8"/>
      <c r="Y120" s="8"/>
      <c r="Z120" s="8"/>
      <c r="AA120" s="8"/>
      <c r="AB120" s="9" t="str">
        <f t="shared" si="18"/>
        <v/>
      </c>
      <c r="AC120" s="9" t="str">
        <f t="shared" si="19"/>
        <v>없음</v>
      </c>
      <c r="AD120" s="9" t="str">
        <f t="shared" si="20"/>
        <v/>
      </c>
      <c r="AE120" s="9" t="str">
        <f t="shared" si="21"/>
        <v>없음</v>
      </c>
      <c r="AF120" s="9" t="str">
        <f t="shared" si="22"/>
        <v/>
      </c>
      <c r="AG120" s="9" t="str">
        <f t="shared" si="23"/>
        <v>N</v>
      </c>
    </row>
    <row r="121" spans="1:33" ht="110" customHeight="1">
      <c r="A121" s="7" t="s">
        <v>668</v>
      </c>
      <c r="B121" s="7" t="s">
        <v>669</v>
      </c>
      <c r="C121" s="7" t="s">
        <v>670</v>
      </c>
      <c r="D121" s="7" t="s">
        <v>615</v>
      </c>
      <c r="E121" s="7" t="s">
        <v>671</v>
      </c>
      <c r="F121" s="7" t="s">
        <v>672</v>
      </c>
      <c r="G121" s="7" t="s">
        <v>673</v>
      </c>
      <c r="H121" s="7"/>
      <c r="I121" s="7" t="s">
        <v>674</v>
      </c>
      <c r="J121" s="7" t="s">
        <v>673</v>
      </c>
      <c r="K121" s="8"/>
      <c r="L121" s="8"/>
      <c r="M121" s="8"/>
      <c r="N121" s="8"/>
      <c r="O121" s="8"/>
      <c r="P121" s="8"/>
      <c r="Q121" s="8"/>
      <c r="R121" s="8"/>
      <c r="S121" s="8"/>
      <c r="T121" s="8"/>
      <c r="U121" s="8"/>
      <c r="V121" s="8"/>
      <c r="W121" s="8"/>
      <c r="X121" s="8"/>
      <c r="Y121" s="8"/>
      <c r="Z121" s="8"/>
      <c r="AA121" s="8"/>
      <c r="AB121" s="9" t="str">
        <f t="shared" si="18"/>
        <v/>
      </c>
      <c r="AC121" s="9" t="str">
        <f t="shared" si="19"/>
        <v>없음</v>
      </c>
      <c r="AD121" s="9" t="str">
        <f t="shared" si="20"/>
        <v/>
      </c>
      <c r="AE121" s="9" t="str">
        <f t="shared" si="21"/>
        <v>없음</v>
      </c>
      <c r="AF121" s="9" t="str">
        <f t="shared" si="22"/>
        <v/>
      </c>
      <c r="AG121" s="9" t="str">
        <f t="shared" si="23"/>
        <v>N</v>
      </c>
    </row>
    <row r="122" spans="1:33" ht="110" customHeight="1">
      <c r="A122" s="7" t="s">
        <v>675</v>
      </c>
      <c r="B122" s="7" t="s">
        <v>676</v>
      </c>
      <c r="C122" s="7" t="s">
        <v>677</v>
      </c>
      <c r="D122" s="7" t="s">
        <v>678</v>
      </c>
      <c r="E122" s="7" t="s">
        <v>679</v>
      </c>
      <c r="F122" s="7" t="s">
        <v>680</v>
      </c>
      <c r="G122" s="7" t="s">
        <v>681</v>
      </c>
      <c r="H122" s="7"/>
      <c r="I122" s="7" t="s">
        <v>682</v>
      </c>
      <c r="J122" s="7" t="s">
        <v>683</v>
      </c>
      <c r="K122" s="8"/>
      <c r="L122" s="8"/>
      <c r="M122" s="8"/>
      <c r="N122" s="8"/>
      <c r="O122" s="8"/>
      <c r="P122" s="8"/>
      <c r="Q122" s="8"/>
      <c r="R122" s="8"/>
      <c r="S122" s="8"/>
      <c r="T122" s="8"/>
      <c r="U122" s="8"/>
      <c r="V122" s="8"/>
      <c r="W122" s="8"/>
      <c r="X122" s="8"/>
      <c r="Y122" s="8"/>
      <c r="Z122" s="8"/>
      <c r="AA122" s="8"/>
      <c r="AB122" s="9" t="str">
        <f t="shared" si="18"/>
        <v/>
      </c>
      <c r="AC122" s="9" t="str">
        <f t="shared" si="19"/>
        <v>없음</v>
      </c>
      <c r="AD122" s="9" t="str">
        <f t="shared" si="20"/>
        <v/>
      </c>
      <c r="AE122" s="9" t="str">
        <f t="shared" si="21"/>
        <v>없음</v>
      </c>
      <c r="AF122" s="9" t="str">
        <f t="shared" si="22"/>
        <v/>
      </c>
      <c r="AG122" s="9" t="str">
        <f t="shared" si="23"/>
        <v>N</v>
      </c>
    </row>
    <row r="123" spans="1:33" ht="110" customHeight="1">
      <c r="A123" s="7" t="s">
        <v>684</v>
      </c>
      <c r="B123" s="7" t="s">
        <v>412</v>
      </c>
      <c r="C123" s="7" t="s">
        <v>685</v>
      </c>
      <c r="D123" s="7" t="s">
        <v>686</v>
      </c>
      <c r="E123" s="7" t="s">
        <v>687</v>
      </c>
      <c r="F123" s="7" t="s">
        <v>680</v>
      </c>
      <c r="G123" s="7" t="s">
        <v>688</v>
      </c>
      <c r="H123" s="7"/>
      <c r="I123" s="7" t="s">
        <v>689</v>
      </c>
      <c r="J123" s="7" t="s">
        <v>688</v>
      </c>
      <c r="K123" s="8"/>
      <c r="L123" s="8"/>
      <c r="M123" s="8"/>
      <c r="N123" s="8"/>
      <c r="O123" s="8"/>
      <c r="P123" s="8"/>
      <c r="Q123" s="8"/>
      <c r="R123" s="8"/>
      <c r="S123" s="8"/>
      <c r="T123" s="8"/>
      <c r="U123" s="8"/>
      <c r="V123" s="8"/>
      <c r="W123" s="8"/>
      <c r="X123" s="8"/>
      <c r="Y123" s="8"/>
      <c r="Z123" s="8"/>
      <c r="AA123" s="8"/>
      <c r="AB123" s="9" t="str">
        <f t="shared" si="18"/>
        <v/>
      </c>
      <c r="AC123" s="9" t="str">
        <f t="shared" si="19"/>
        <v>없음</v>
      </c>
      <c r="AD123" s="9" t="str">
        <f t="shared" si="20"/>
        <v/>
      </c>
      <c r="AE123" s="9" t="str">
        <f t="shared" si="21"/>
        <v>없음</v>
      </c>
      <c r="AF123" s="9" t="str">
        <f t="shared" si="22"/>
        <v/>
      </c>
      <c r="AG123" s="9" t="str">
        <f t="shared" si="23"/>
        <v>N</v>
      </c>
    </row>
    <row r="124" spans="1:33" ht="110" customHeight="1">
      <c r="A124" s="7" t="s">
        <v>690</v>
      </c>
      <c r="B124" s="7" t="s">
        <v>691</v>
      </c>
      <c r="C124" s="7" t="s">
        <v>692</v>
      </c>
      <c r="D124" s="7" t="s">
        <v>693</v>
      </c>
      <c r="E124" s="7" t="s">
        <v>694</v>
      </c>
      <c r="F124" s="7"/>
      <c r="G124" s="7"/>
      <c r="H124" s="7"/>
      <c r="I124" s="7"/>
      <c r="J124" s="7"/>
      <c r="K124" s="8"/>
      <c r="L124" s="8"/>
      <c r="M124" s="8"/>
      <c r="N124" s="8"/>
      <c r="O124" s="8"/>
      <c r="P124" s="8"/>
      <c r="Q124" s="8"/>
      <c r="R124" s="8"/>
      <c r="S124" s="8"/>
      <c r="T124" s="8"/>
      <c r="U124" s="8"/>
      <c r="V124" s="8"/>
      <c r="W124" s="8"/>
      <c r="X124" s="8"/>
      <c r="Y124" s="8"/>
      <c r="Z124" s="8"/>
      <c r="AA124" s="8"/>
      <c r="AB124" s="9" t="str">
        <f t="shared" si="18"/>
        <v/>
      </c>
      <c r="AC124" s="9" t="str">
        <f t="shared" si="19"/>
        <v>없음</v>
      </c>
      <c r="AD124" s="9" t="str">
        <f t="shared" si="20"/>
        <v/>
      </c>
      <c r="AE124" s="9" t="str">
        <f t="shared" si="21"/>
        <v>없음</v>
      </c>
      <c r="AF124" s="9" t="str">
        <f t="shared" si="22"/>
        <v/>
      </c>
      <c r="AG124" s="9" t="str">
        <f t="shared" si="23"/>
        <v>N</v>
      </c>
    </row>
    <row r="125" spans="1:33" ht="110" customHeight="1">
      <c r="A125" s="7" t="s">
        <v>695</v>
      </c>
      <c r="B125" s="7" t="s">
        <v>543</v>
      </c>
      <c r="C125" s="7" t="s">
        <v>696</v>
      </c>
      <c r="D125" s="7" t="s">
        <v>697</v>
      </c>
      <c r="E125" s="7" t="s">
        <v>698</v>
      </c>
      <c r="F125" s="7"/>
      <c r="G125" s="7"/>
      <c r="H125" s="7"/>
      <c r="I125" s="7"/>
      <c r="J125" s="7"/>
      <c r="K125" s="8"/>
      <c r="L125" s="8"/>
      <c r="M125" s="8"/>
      <c r="N125" s="8"/>
      <c r="O125" s="8"/>
      <c r="P125" s="8"/>
      <c r="Q125" s="8"/>
      <c r="R125" s="8"/>
      <c r="S125" s="8"/>
      <c r="T125" s="8"/>
      <c r="U125" s="8"/>
      <c r="V125" s="8"/>
      <c r="W125" s="8"/>
      <c r="X125" s="8"/>
      <c r="Y125" s="8"/>
      <c r="Z125" s="8"/>
      <c r="AA125" s="8"/>
      <c r="AB125" s="9" t="str">
        <f t="shared" si="18"/>
        <v/>
      </c>
      <c r="AC125" s="9" t="str">
        <f t="shared" si="19"/>
        <v>없음</v>
      </c>
      <c r="AD125" s="9" t="str">
        <f t="shared" si="20"/>
        <v/>
      </c>
      <c r="AE125" s="9" t="str">
        <f t="shared" si="21"/>
        <v>없음</v>
      </c>
      <c r="AF125" s="9" t="str">
        <f t="shared" si="22"/>
        <v/>
      </c>
      <c r="AG125" s="9" t="str">
        <f t="shared" si="23"/>
        <v>N</v>
      </c>
    </row>
    <row r="126" spans="1:33" ht="110" customHeight="1">
      <c r="A126" s="7" t="s">
        <v>699</v>
      </c>
      <c r="B126" s="7" t="s">
        <v>700</v>
      </c>
      <c r="C126" s="7" t="s">
        <v>701</v>
      </c>
      <c r="D126" s="7" t="s">
        <v>702</v>
      </c>
      <c r="E126" s="7" t="s">
        <v>703</v>
      </c>
      <c r="F126" s="7"/>
      <c r="G126" s="7"/>
      <c r="H126" s="7"/>
      <c r="I126" s="7"/>
      <c r="J126" s="7"/>
      <c r="K126" s="8"/>
      <c r="L126" s="8"/>
      <c r="M126" s="8"/>
      <c r="N126" s="8"/>
      <c r="O126" s="8"/>
      <c r="P126" s="8"/>
      <c r="Q126" s="8"/>
      <c r="R126" s="8"/>
      <c r="S126" s="8"/>
      <c r="T126" s="8"/>
      <c r="U126" s="8"/>
      <c r="V126" s="8"/>
      <c r="W126" s="8"/>
      <c r="X126" s="8"/>
      <c r="Y126" s="8"/>
      <c r="Z126" s="8"/>
      <c r="AA126" s="8"/>
      <c r="AB126" s="9" t="str">
        <f t="shared" si="18"/>
        <v/>
      </c>
      <c r="AC126" s="9" t="str">
        <f t="shared" si="19"/>
        <v>없음</v>
      </c>
      <c r="AD126" s="9" t="str">
        <f t="shared" si="20"/>
        <v/>
      </c>
      <c r="AE126" s="9" t="str">
        <f t="shared" si="21"/>
        <v>없음</v>
      </c>
      <c r="AF126" s="9" t="str">
        <f t="shared" si="22"/>
        <v/>
      </c>
      <c r="AG126" s="9" t="str">
        <f t="shared" si="23"/>
        <v>N</v>
      </c>
    </row>
    <row r="127" spans="1:33" ht="110" customHeight="1">
      <c r="A127" s="7" t="s">
        <v>704</v>
      </c>
      <c r="B127" s="7" t="s">
        <v>378</v>
      </c>
      <c r="C127" s="7" t="s">
        <v>705</v>
      </c>
      <c r="D127" s="7" t="s">
        <v>706</v>
      </c>
      <c r="E127" s="7" t="s">
        <v>707</v>
      </c>
      <c r="F127" s="7"/>
      <c r="G127" s="7"/>
      <c r="H127" s="7"/>
      <c r="I127" s="7"/>
      <c r="J127" s="7"/>
      <c r="K127" s="8"/>
      <c r="L127" s="8"/>
      <c r="M127" s="8"/>
      <c r="N127" s="8"/>
      <c r="O127" s="8"/>
      <c r="P127" s="8"/>
      <c r="Q127" s="8"/>
      <c r="R127" s="8"/>
      <c r="S127" s="8"/>
      <c r="T127" s="8"/>
      <c r="U127" s="8"/>
      <c r="V127" s="8"/>
      <c r="W127" s="8"/>
      <c r="X127" s="8"/>
      <c r="Y127" s="8"/>
      <c r="Z127" s="8"/>
      <c r="AA127" s="8"/>
      <c r="AB127" s="9" t="str">
        <f t="shared" si="18"/>
        <v/>
      </c>
      <c r="AC127" s="9" t="str">
        <f t="shared" si="19"/>
        <v>없음</v>
      </c>
      <c r="AD127" s="9" t="str">
        <f t="shared" si="20"/>
        <v/>
      </c>
      <c r="AE127" s="9" t="str">
        <f t="shared" si="21"/>
        <v>없음</v>
      </c>
      <c r="AF127" s="9" t="str">
        <f t="shared" si="22"/>
        <v/>
      </c>
      <c r="AG127" s="9" t="str">
        <f t="shared" si="23"/>
        <v>N</v>
      </c>
    </row>
    <row r="128" spans="1:33" ht="110" customHeight="1">
      <c r="A128" s="7" t="s">
        <v>708</v>
      </c>
      <c r="B128" s="7" t="s">
        <v>599</v>
      </c>
      <c r="C128" s="7" t="s">
        <v>705</v>
      </c>
      <c r="D128" s="7" t="s">
        <v>706</v>
      </c>
      <c r="E128" s="7" t="s">
        <v>709</v>
      </c>
      <c r="F128" s="7"/>
      <c r="G128" s="7"/>
      <c r="H128" s="7"/>
      <c r="I128" s="7"/>
      <c r="J128" s="7"/>
      <c r="K128" s="8"/>
      <c r="L128" s="8"/>
      <c r="M128" s="8"/>
      <c r="N128" s="8"/>
      <c r="O128" s="8"/>
      <c r="P128" s="8"/>
      <c r="Q128" s="8"/>
      <c r="R128" s="8"/>
      <c r="S128" s="8"/>
      <c r="T128" s="8"/>
      <c r="U128" s="8"/>
      <c r="V128" s="8"/>
      <c r="W128" s="8"/>
      <c r="X128" s="8"/>
      <c r="Y128" s="8"/>
      <c r="Z128" s="8"/>
      <c r="AA128" s="8"/>
      <c r="AB128" s="9" t="str">
        <f t="shared" si="18"/>
        <v/>
      </c>
      <c r="AC128" s="9" t="str">
        <f t="shared" si="19"/>
        <v>없음</v>
      </c>
      <c r="AD128" s="9" t="str">
        <f t="shared" si="20"/>
        <v/>
      </c>
      <c r="AE128" s="9" t="str">
        <f t="shared" si="21"/>
        <v>없음</v>
      </c>
      <c r="AF128" s="9" t="str">
        <f t="shared" si="22"/>
        <v/>
      </c>
      <c r="AG128" s="9" t="str">
        <f t="shared" si="23"/>
        <v>N</v>
      </c>
    </row>
    <row r="129" spans="1:33" ht="110" customHeight="1">
      <c r="A129" s="7" t="s">
        <v>710</v>
      </c>
      <c r="B129" s="7" t="s">
        <v>603</v>
      </c>
      <c r="C129" s="7" t="s">
        <v>705</v>
      </c>
      <c r="D129" s="7" t="s">
        <v>706</v>
      </c>
      <c r="E129" s="7" t="s">
        <v>711</v>
      </c>
      <c r="F129" s="7"/>
      <c r="G129" s="7"/>
      <c r="H129" s="7"/>
      <c r="I129" s="7"/>
      <c r="J129" s="7"/>
      <c r="K129" s="8"/>
      <c r="L129" s="8"/>
      <c r="M129" s="8"/>
      <c r="N129" s="8"/>
      <c r="O129" s="8"/>
      <c r="P129" s="8"/>
      <c r="Q129" s="8"/>
      <c r="R129" s="8"/>
      <c r="S129" s="8"/>
      <c r="T129" s="8"/>
      <c r="U129" s="8"/>
      <c r="V129" s="8"/>
      <c r="W129" s="8"/>
      <c r="X129" s="8"/>
      <c r="Y129" s="8"/>
      <c r="Z129" s="8"/>
      <c r="AA129" s="8"/>
      <c r="AB129" s="9" t="str">
        <f t="shared" si="18"/>
        <v/>
      </c>
      <c r="AC129" s="9" t="str">
        <f t="shared" si="19"/>
        <v>없음</v>
      </c>
      <c r="AD129" s="9" t="str">
        <f t="shared" si="20"/>
        <v/>
      </c>
      <c r="AE129" s="9" t="str">
        <f t="shared" si="21"/>
        <v>없음</v>
      </c>
      <c r="AF129" s="9" t="str">
        <f t="shared" si="22"/>
        <v/>
      </c>
      <c r="AG129" s="9" t="str">
        <f t="shared" si="23"/>
        <v>N</v>
      </c>
    </row>
    <row r="130" spans="1:33" ht="110" customHeight="1">
      <c r="A130" s="7" t="s">
        <v>712</v>
      </c>
      <c r="B130" s="7" t="s">
        <v>437</v>
      </c>
      <c r="C130" s="7" t="s">
        <v>705</v>
      </c>
      <c r="D130" s="7" t="s">
        <v>706</v>
      </c>
      <c r="E130" s="7" t="s">
        <v>713</v>
      </c>
      <c r="F130" s="7"/>
      <c r="G130" s="7"/>
      <c r="H130" s="7"/>
      <c r="I130" s="7"/>
      <c r="J130" s="7"/>
      <c r="K130" s="8"/>
      <c r="L130" s="8"/>
      <c r="M130" s="8"/>
      <c r="N130" s="8"/>
      <c r="O130" s="8"/>
      <c r="P130" s="8"/>
      <c r="Q130" s="8"/>
      <c r="R130" s="8"/>
      <c r="S130" s="8"/>
      <c r="T130" s="8"/>
      <c r="U130" s="8"/>
      <c r="V130" s="8"/>
      <c r="W130" s="8"/>
      <c r="X130" s="8"/>
      <c r="Y130" s="8"/>
      <c r="Z130" s="8"/>
      <c r="AA130" s="8"/>
      <c r="AB130" s="9" t="str">
        <f t="shared" ref="AB130:AB146" si="24">IF(LEN(IF(K130="Y","규격;","")&amp;IF(L130="Y","가공상태;","")&amp;IF(M130="Y","용도;","")&amp;IF(N130="Y","분류;","")&amp;IF(O130="Y","제품지정;",""))=0,"",LEFT(IF(K130="Y","규격;","")&amp;IF(L130="Y","가공상태;","")&amp;IF(M130="Y","용도;","")&amp;IF(N130="Y","분류;","")&amp;IF(O130="Y","제품지정;",""),LEN(IF(K130="Y","규격;","")&amp;IF(L130="Y","가공상태;","")&amp;IF(M130="Y","용도;","")&amp;IF(N130="Y","분류;","")&amp;IF(O130="Y","제품지정;",""))-1))</f>
        <v/>
      </c>
      <c r="AC130" s="9" t="str">
        <f t="shared" ref="AC130:AC146" si="25">IF(COUNTIF(K130:O130,"Y")=0,"없음",IF(COUNTIF(K130:O130,"Y")&gt;1,"복합",IF(K130="Y","규격",IF(L130="Y","가공상태",IF(M130="Y","용도",IF(N130="Y","분류",IF(O130="Y","제품지정","")))))))</f>
        <v>없음</v>
      </c>
      <c r="AD130" s="9" t="str">
        <f t="shared" ref="AD130:AD146" si="26">IF(LEN(IF(P130="Y","규격;","")&amp;IF(Q130="Y","가공상태;","")&amp;IF(R130="Y","용도;","")&amp;IF(S130="Y","분류;","")&amp;IF(T130="Y","제품지정;",""))=0,"",LEFT(IF(P130="Y","규격;","")&amp;IF(Q130="Y","가공상태;","")&amp;IF(R130="Y","용도;","")&amp;IF(S130="Y","분류;","")&amp;IF(T130="Y","제품지정;",""),LEN(IF(P130="Y","규격;","")&amp;IF(Q130="Y","가공상태;","")&amp;IF(R130="Y","용도;","")&amp;IF(S130="Y","분류;","")&amp;IF(T130="Y","제품지정;",""))-1))</f>
        <v/>
      </c>
      <c r="AE130" s="9" t="str">
        <f t="shared" ref="AE130:AE146" si="27">IF(COUNTIF(P130:T130,"Y")=0,"없음",IF(COUNTIF(P130:T130,"Y")&gt;1,"복합",IF(P130="Y","규격",IF(Q130="Y","가공상태",IF(R130="Y","용도",IF(S130="Y","분류",IF(T130="Y","제품지정","")))))))</f>
        <v>없음</v>
      </c>
      <c r="AF130" s="9" t="str">
        <f t="shared" ref="AF130:AF146" si="28">IF(U130="","",IF(U130="없음","N","Y"))</f>
        <v/>
      </c>
      <c r="AG130" s="9" t="str">
        <f t="shared" ref="AG130:AG146" si="29">IF(OR(M130="Y",R130="Y"),"Y","N")</f>
        <v>N</v>
      </c>
    </row>
    <row r="131" spans="1:33" ht="110" customHeight="1">
      <c r="A131" s="7" t="s">
        <v>714</v>
      </c>
      <c r="B131" s="7" t="s">
        <v>715</v>
      </c>
      <c r="C131" s="7" t="s">
        <v>716</v>
      </c>
      <c r="D131" s="7" t="s">
        <v>717</v>
      </c>
      <c r="E131" s="7" t="s">
        <v>718</v>
      </c>
      <c r="F131" s="7"/>
      <c r="G131" s="7"/>
      <c r="H131" s="7"/>
      <c r="I131" s="7"/>
      <c r="J131" s="7"/>
      <c r="K131" s="8"/>
      <c r="L131" s="8"/>
      <c r="M131" s="8"/>
      <c r="N131" s="8"/>
      <c r="O131" s="8"/>
      <c r="P131" s="8"/>
      <c r="Q131" s="8"/>
      <c r="R131" s="8"/>
      <c r="S131" s="8"/>
      <c r="T131" s="8"/>
      <c r="U131" s="8"/>
      <c r="V131" s="8"/>
      <c r="W131" s="8"/>
      <c r="X131" s="8"/>
      <c r="Y131" s="8"/>
      <c r="Z131" s="8"/>
      <c r="AA131" s="8"/>
      <c r="AB131" s="9" t="str">
        <f t="shared" si="24"/>
        <v/>
      </c>
      <c r="AC131" s="9" t="str">
        <f t="shared" si="25"/>
        <v>없음</v>
      </c>
      <c r="AD131" s="9" t="str">
        <f t="shared" si="26"/>
        <v/>
      </c>
      <c r="AE131" s="9" t="str">
        <f t="shared" si="27"/>
        <v>없음</v>
      </c>
      <c r="AF131" s="9" t="str">
        <f t="shared" si="28"/>
        <v/>
      </c>
      <c r="AG131" s="9" t="str">
        <f t="shared" si="29"/>
        <v>N</v>
      </c>
    </row>
    <row r="132" spans="1:33" ht="110" customHeight="1">
      <c r="A132" s="7" t="s">
        <v>719</v>
      </c>
      <c r="B132" s="7" t="s">
        <v>448</v>
      </c>
      <c r="C132" s="7" t="s">
        <v>720</v>
      </c>
      <c r="D132" s="7" t="s">
        <v>721</v>
      </c>
      <c r="E132" s="7" t="s">
        <v>722</v>
      </c>
      <c r="F132" s="7" t="s">
        <v>723</v>
      </c>
      <c r="G132" s="7" t="s">
        <v>724</v>
      </c>
      <c r="H132" s="7"/>
      <c r="I132" s="7"/>
      <c r="J132" s="7"/>
      <c r="K132" s="8"/>
      <c r="L132" s="8"/>
      <c r="M132" s="8"/>
      <c r="N132" s="8"/>
      <c r="O132" s="8"/>
      <c r="P132" s="8"/>
      <c r="Q132" s="8"/>
      <c r="R132" s="8"/>
      <c r="S132" s="8"/>
      <c r="T132" s="8"/>
      <c r="U132" s="8"/>
      <c r="V132" s="8"/>
      <c r="W132" s="8"/>
      <c r="X132" s="8"/>
      <c r="Y132" s="8"/>
      <c r="Z132" s="8"/>
      <c r="AA132" s="8"/>
      <c r="AB132" s="9" t="str">
        <f t="shared" si="24"/>
        <v/>
      </c>
      <c r="AC132" s="9" t="str">
        <f t="shared" si="25"/>
        <v>없음</v>
      </c>
      <c r="AD132" s="9" t="str">
        <f t="shared" si="26"/>
        <v/>
      </c>
      <c r="AE132" s="9" t="str">
        <f t="shared" si="27"/>
        <v>없음</v>
      </c>
      <c r="AF132" s="9" t="str">
        <f t="shared" si="28"/>
        <v/>
      </c>
      <c r="AG132" s="9" t="str">
        <f t="shared" si="29"/>
        <v>N</v>
      </c>
    </row>
    <row r="133" spans="1:33" ht="110" customHeight="1">
      <c r="A133" s="7" t="s">
        <v>725</v>
      </c>
      <c r="B133" s="7" t="s">
        <v>624</v>
      </c>
      <c r="C133" s="7" t="s">
        <v>726</v>
      </c>
      <c r="D133" s="7" t="s">
        <v>615</v>
      </c>
      <c r="E133" s="7" t="s">
        <v>727</v>
      </c>
      <c r="F133" s="7" t="s">
        <v>723</v>
      </c>
      <c r="G133" s="7" t="s">
        <v>728</v>
      </c>
      <c r="H133" s="7"/>
      <c r="I133" s="7" t="s">
        <v>729</v>
      </c>
      <c r="J133" s="7" t="s">
        <v>728</v>
      </c>
      <c r="K133" s="8"/>
      <c r="L133" s="8"/>
      <c r="M133" s="8"/>
      <c r="N133" s="8"/>
      <c r="O133" s="8"/>
      <c r="P133" s="8"/>
      <c r="Q133" s="8"/>
      <c r="R133" s="8"/>
      <c r="S133" s="8"/>
      <c r="T133" s="8"/>
      <c r="U133" s="8"/>
      <c r="V133" s="8"/>
      <c r="W133" s="8"/>
      <c r="X133" s="8"/>
      <c r="Y133" s="8"/>
      <c r="Z133" s="8"/>
      <c r="AA133" s="8"/>
      <c r="AB133" s="9" t="str">
        <f t="shared" si="24"/>
        <v/>
      </c>
      <c r="AC133" s="9" t="str">
        <f t="shared" si="25"/>
        <v>없음</v>
      </c>
      <c r="AD133" s="9" t="str">
        <f t="shared" si="26"/>
        <v/>
      </c>
      <c r="AE133" s="9" t="str">
        <f t="shared" si="27"/>
        <v>없음</v>
      </c>
      <c r="AF133" s="9" t="str">
        <f t="shared" si="28"/>
        <v/>
      </c>
      <c r="AG133" s="9" t="str">
        <f t="shared" si="29"/>
        <v>N</v>
      </c>
    </row>
    <row r="134" spans="1:33" ht="110" customHeight="1">
      <c r="A134" s="7" t="s">
        <v>730</v>
      </c>
      <c r="B134" s="7" t="s">
        <v>731</v>
      </c>
      <c r="C134" s="7" t="s">
        <v>732</v>
      </c>
      <c r="D134" s="7" t="s">
        <v>733</v>
      </c>
      <c r="E134" s="7" t="s">
        <v>734</v>
      </c>
      <c r="F134" s="7"/>
      <c r="G134" s="7"/>
      <c r="H134" s="7"/>
      <c r="I134" s="7"/>
      <c r="J134" s="7"/>
      <c r="K134" s="8"/>
      <c r="L134" s="8"/>
      <c r="M134" s="8"/>
      <c r="N134" s="8"/>
      <c r="O134" s="8"/>
      <c r="P134" s="8"/>
      <c r="Q134" s="8"/>
      <c r="R134" s="8"/>
      <c r="S134" s="8"/>
      <c r="T134" s="8"/>
      <c r="U134" s="8"/>
      <c r="V134" s="8"/>
      <c r="W134" s="8"/>
      <c r="X134" s="8"/>
      <c r="Y134" s="8"/>
      <c r="Z134" s="8"/>
      <c r="AA134" s="8"/>
      <c r="AB134" s="9" t="str">
        <f t="shared" si="24"/>
        <v/>
      </c>
      <c r="AC134" s="9" t="str">
        <f t="shared" si="25"/>
        <v>없음</v>
      </c>
      <c r="AD134" s="9" t="str">
        <f t="shared" si="26"/>
        <v/>
      </c>
      <c r="AE134" s="9" t="str">
        <f t="shared" si="27"/>
        <v>없음</v>
      </c>
      <c r="AF134" s="9" t="str">
        <f t="shared" si="28"/>
        <v/>
      </c>
      <c r="AG134" s="9" t="str">
        <f t="shared" si="29"/>
        <v>N</v>
      </c>
    </row>
    <row r="135" spans="1:33" ht="110" customHeight="1">
      <c r="A135" s="7" t="s">
        <v>735</v>
      </c>
      <c r="B135" s="7" t="s">
        <v>736</v>
      </c>
      <c r="C135" s="7" t="s">
        <v>737</v>
      </c>
      <c r="D135" s="7" t="s">
        <v>738</v>
      </c>
      <c r="E135" s="7" t="s">
        <v>739</v>
      </c>
      <c r="F135" s="7" t="s">
        <v>740</v>
      </c>
      <c r="G135" s="7"/>
      <c r="H135" s="7"/>
      <c r="I135" s="7"/>
      <c r="J135" s="7"/>
      <c r="K135" s="8"/>
      <c r="L135" s="8"/>
      <c r="M135" s="8"/>
      <c r="N135" s="8"/>
      <c r="O135" s="8"/>
      <c r="P135" s="8"/>
      <c r="Q135" s="8"/>
      <c r="R135" s="8"/>
      <c r="S135" s="8"/>
      <c r="T135" s="8"/>
      <c r="U135" s="8"/>
      <c r="V135" s="8"/>
      <c r="W135" s="8"/>
      <c r="X135" s="8"/>
      <c r="Y135" s="8"/>
      <c r="Z135" s="8"/>
      <c r="AA135" s="8"/>
      <c r="AB135" s="9" t="str">
        <f t="shared" si="24"/>
        <v/>
      </c>
      <c r="AC135" s="9" t="str">
        <f t="shared" si="25"/>
        <v>없음</v>
      </c>
      <c r="AD135" s="9" t="str">
        <f t="shared" si="26"/>
        <v/>
      </c>
      <c r="AE135" s="9" t="str">
        <f t="shared" si="27"/>
        <v>없음</v>
      </c>
      <c r="AF135" s="9" t="str">
        <f t="shared" si="28"/>
        <v/>
      </c>
      <c r="AG135" s="9" t="str">
        <f t="shared" si="29"/>
        <v>N</v>
      </c>
    </row>
    <row r="136" spans="1:33" ht="110" customHeight="1">
      <c r="A136" s="7" t="s">
        <v>741</v>
      </c>
      <c r="B136" s="7" t="s">
        <v>742</v>
      </c>
      <c r="C136" s="7" t="s">
        <v>743</v>
      </c>
      <c r="D136" s="7" t="s">
        <v>744</v>
      </c>
      <c r="E136" s="7" t="s">
        <v>745</v>
      </c>
      <c r="F136" s="7" t="s">
        <v>746</v>
      </c>
      <c r="G136" s="7"/>
      <c r="H136" s="7"/>
      <c r="I136" s="7"/>
      <c r="J136" s="7"/>
      <c r="K136" s="8"/>
      <c r="L136" s="8"/>
      <c r="M136" s="8"/>
      <c r="N136" s="8"/>
      <c r="O136" s="8"/>
      <c r="P136" s="8"/>
      <c r="Q136" s="8"/>
      <c r="R136" s="8"/>
      <c r="S136" s="8"/>
      <c r="T136" s="8"/>
      <c r="U136" s="8"/>
      <c r="V136" s="8"/>
      <c r="W136" s="8"/>
      <c r="X136" s="8"/>
      <c r="Y136" s="8"/>
      <c r="Z136" s="8"/>
      <c r="AA136" s="8"/>
      <c r="AB136" s="9" t="str">
        <f t="shared" si="24"/>
        <v/>
      </c>
      <c r="AC136" s="9" t="str">
        <f t="shared" si="25"/>
        <v>없음</v>
      </c>
      <c r="AD136" s="9" t="str">
        <f t="shared" si="26"/>
        <v/>
      </c>
      <c r="AE136" s="9" t="str">
        <f t="shared" si="27"/>
        <v>없음</v>
      </c>
      <c r="AF136" s="9" t="str">
        <f t="shared" si="28"/>
        <v/>
      </c>
      <c r="AG136" s="9" t="str">
        <f t="shared" si="29"/>
        <v>N</v>
      </c>
    </row>
    <row r="137" spans="1:33" ht="110" customHeight="1">
      <c r="A137" s="7" t="s">
        <v>747</v>
      </c>
      <c r="B137" s="7" t="s">
        <v>748</v>
      </c>
      <c r="C137" s="7" t="s">
        <v>749</v>
      </c>
      <c r="D137" s="7" t="s">
        <v>615</v>
      </c>
      <c r="E137" s="7" t="s">
        <v>750</v>
      </c>
      <c r="F137" s="7" t="s">
        <v>751</v>
      </c>
      <c r="G137" s="7" t="s">
        <v>752</v>
      </c>
      <c r="H137" s="7"/>
      <c r="I137" s="7" t="s">
        <v>753</v>
      </c>
      <c r="J137" s="7" t="s">
        <v>752</v>
      </c>
      <c r="K137" s="8"/>
      <c r="L137" s="8"/>
      <c r="M137" s="8"/>
      <c r="N137" s="8"/>
      <c r="O137" s="8"/>
      <c r="P137" s="8"/>
      <c r="Q137" s="8"/>
      <c r="R137" s="8"/>
      <c r="S137" s="8"/>
      <c r="T137" s="8"/>
      <c r="U137" s="8"/>
      <c r="V137" s="8"/>
      <c r="W137" s="8"/>
      <c r="X137" s="8"/>
      <c r="Y137" s="8"/>
      <c r="Z137" s="8"/>
      <c r="AA137" s="8"/>
      <c r="AB137" s="9" t="str">
        <f t="shared" si="24"/>
        <v/>
      </c>
      <c r="AC137" s="9" t="str">
        <f t="shared" si="25"/>
        <v>없음</v>
      </c>
      <c r="AD137" s="9" t="str">
        <f t="shared" si="26"/>
        <v/>
      </c>
      <c r="AE137" s="9" t="str">
        <f t="shared" si="27"/>
        <v>없음</v>
      </c>
      <c r="AF137" s="9" t="str">
        <f t="shared" si="28"/>
        <v/>
      </c>
      <c r="AG137" s="9" t="str">
        <f t="shared" si="29"/>
        <v>N</v>
      </c>
    </row>
    <row r="138" spans="1:33" ht="110" customHeight="1">
      <c r="A138" s="7" t="s">
        <v>754</v>
      </c>
      <c r="B138" s="7" t="s">
        <v>755</v>
      </c>
      <c r="C138" s="7" t="s">
        <v>756</v>
      </c>
      <c r="D138" s="7" t="s">
        <v>757</v>
      </c>
      <c r="E138" s="7" t="s">
        <v>758</v>
      </c>
      <c r="F138" s="7" t="s">
        <v>759</v>
      </c>
      <c r="G138" s="7"/>
      <c r="H138" s="7"/>
      <c r="I138" s="7"/>
      <c r="J138" s="7"/>
      <c r="K138" s="8"/>
      <c r="L138" s="8"/>
      <c r="M138" s="8"/>
      <c r="N138" s="8"/>
      <c r="O138" s="8"/>
      <c r="P138" s="8"/>
      <c r="Q138" s="8"/>
      <c r="R138" s="8"/>
      <c r="S138" s="8"/>
      <c r="T138" s="8"/>
      <c r="U138" s="8"/>
      <c r="V138" s="8"/>
      <c r="W138" s="8"/>
      <c r="X138" s="8"/>
      <c r="Y138" s="8"/>
      <c r="Z138" s="8"/>
      <c r="AA138" s="8"/>
      <c r="AB138" s="9" t="str">
        <f t="shared" si="24"/>
        <v/>
      </c>
      <c r="AC138" s="9" t="str">
        <f t="shared" si="25"/>
        <v>없음</v>
      </c>
      <c r="AD138" s="9" t="str">
        <f t="shared" si="26"/>
        <v/>
      </c>
      <c r="AE138" s="9" t="str">
        <f t="shared" si="27"/>
        <v>없음</v>
      </c>
      <c r="AF138" s="9" t="str">
        <f t="shared" si="28"/>
        <v/>
      </c>
      <c r="AG138" s="9" t="str">
        <f t="shared" si="29"/>
        <v>N</v>
      </c>
    </row>
    <row r="139" spans="1:33" ht="110" customHeight="1">
      <c r="A139" s="7" t="s">
        <v>760</v>
      </c>
      <c r="B139" s="7" t="s">
        <v>761</v>
      </c>
      <c r="C139" s="7" t="s">
        <v>762</v>
      </c>
      <c r="D139" s="7" t="s">
        <v>763</v>
      </c>
      <c r="E139" s="7" t="s">
        <v>764</v>
      </c>
      <c r="F139" s="7"/>
      <c r="G139" s="7"/>
      <c r="H139" s="7"/>
      <c r="I139" s="7"/>
      <c r="J139" s="7"/>
      <c r="K139" s="8"/>
      <c r="L139" s="8"/>
      <c r="M139" s="8"/>
      <c r="N139" s="8"/>
      <c r="O139" s="8"/>
      <c r="P139" s="8"/>
      <c r="Q139" s="8"/>
      <c r="R139" s="8"/>
      <c r="S139" s="8"/>
      <c r="T139" s="8"/>
      <c r="U139" s="8"/>
      <c r="V139" s="8"/>
      <c r="W139" s="8"/>
      <c r="X139" s="8"/>
      <c r="Y139" s="8"/>
      <c r="Z139" s="8"/>
      <c r="AA139" s="8"/>
      <c r="AB139" s="9" t="str">
        <f t="shared" si="24"/>
        <v/>
      </c>
      <c r="AC139" s="9" t="str">
        <f t="shared" si="25"/>
        <v>없음</v>
      </c>
      <c r="AD139" s="9" t="str">
        <f t="shared" si="26"/>
        <v/>
      </c>
      <c r="AE139" s="9" t="str">
        <f t="shared" si="27"/>
        <v>없음</v>
      </c>
      <c r="AF139" s="9" t="str">
        <f t="shared" si="28"/>
        <v/>
      </c>
      <c r="AG139" s="9" t="str">
        <f t="shared" si="29"/>
        <v>N</v>
      </c>
    </row>
    <row r="140" spans="1:33" ht="110" customHeight="1">
      <c r="A140" s="7" t="s">
        <v>765</v>
      </c>
      <c r="B140" s="7" t="s">
        <v>766</v>
      </c>
      <c r="C140" s="7" t="s">
        <v>767</v>
      </c>
      <c r="D140" s="7" t="s">
        <v>768</v>
      </c>
      <c r="E140" s="7" t="s">
        <v>769</v>
      </c>
      <c r="F140" s="7" t="s">
        <v>770</v>
      </c>
      <c r="G140" s="7"/>
      <c r="H140" s="7"/>
      <c r="I140" s="7"/>
      <c r="J140" s="7"/>
      <c r="K140" s="8"/>
      <c r="L140" s="8"/>
      <c r="M140" s="8"/>
      <c r="N140" s="8"/>
      <c r="O140" s="8"/>
      <c r="P140" s="8"/>
      <c r="Q140" s="8"/>
      <c r="R140" s="8"/>
      <c r="S140" s="8"/>
      <c r="T140" s="8"/>
      <c r="U140" s="8"/>
      <c r="V140" s="8"/>
      <c r="W140" s="8"/>
      <c r="X140" s="8"/>
      <c r="Y140" s="8"/>
      <c r="Z140" s="8"/>
      <c r="AA140" s="8"/>
      <c r="AB140" s="9" t="str">
        <f t="shared" si="24"/>
        <v/>
      </c>
      <c r="AC140" s="9" t="str">
        <f t="shared" si="25"/>
        <v>없음</v>
      </c>
      <c r="AD140" s="9" t="str">
        <f t="shared" si="26"/>
        <v/>
      </c>
      <c r="AE140" s="9" t="str">
        <f t="shared" si="27"/>
        <v>없음</v>
      </c>
      <c r="AF140" s="9" t="str">
        <f t="shared" si="28"/>
        <v/>
      </c>
      <c r="AG140" s="9" t="str">
        <f t="shared" si="29"/>
        <v>N</v>
      </c>
    </row>
    <row r="141" spans="1:33" ht="110" customHeight="1">
      <c r="A141" s="7" t="s">
        <v>771</v>
      </c>
      <c r="B141" s="7" t="s">
        <v>772</v>
      </c>
      <c r="C141" s="7" t="s">
        <v>773</v>
      </c>
      <c r="D141" s="7" t="s">
        <v>774</v>
      </c>
      <c r="E141" s="7" t="s">
        <v>775</v>
      </c>
      <c r="F141" s="7"/>
      <c r="G141" s="7"/>
      <c r="H141" s="7"/>
      <c r="I141" s="7"/>
      <c r="J141" s="7"/>
      <c r="K141" s="8"/>
      <c r="L141" s="8"/>
      <c r="M141" s="8"/>
      <c r="N141" s="8"/>
      <c r="O141" s="8"/>
      <c r="P141" s="8"/>
      <c r="Q141" s="8"/>
      <c r="R141" s="8"/>
      <c r="S141" s="8"/>
      <c r="T141" s="8"/>
      <c r="U141" s="8"/>
      <c r="V141" s="8"/>
      <c r="W141" s="8"/>
      <c r="X141" s="8"/>
      <c r="Y141" s="8"/>
      <c r="Z141" s="8"/>
      <c r="AA141" s="8"/>
      <c r="AB141" s="9" t="str">
        <f t="shared" si="24"/>
        <v/>
      </c>
      <c r="AC141" s="9" t="str">
        <f t="shared" si="25"/>
        <v>없음</v>
      </c>
      <c r="AD141" s="9" t="str">
        <f t="shared" si="26"/>
        <v/>
      </c>
      <c r="AE141" s="9" t="str">
        <f t="shared" si="27"/>
        <v>없음</v>
      </c>
      <c r="AF141" s="9" t="str">
        <f t="shared" si="28"/>
        <v/>
      </c>
      <c r="AG141" s="9" t="str">
        <f t="shared" si="29"/>
        <v>N</v>
      </c>
    </row>
    <row r="142" spans="1:33" ht="110" customHeight="1">
      <c r="A142" s="7" t="s">
        <v>776</v>
      </c>
      <c r="B142" s="7" t="s">
        <v>652</v>
      </c>
      <c r="C142" s="7" t="s">
        <v>777</v>
      </c>
      <c r="D142" s="7" t="s">
        <v>778</v>
      </c>
      <c r="E142" s="7" t="s">
        <v>779</v>
      </c>
      <c r="F142" s="7"/>
      <c r="G142" s="7"/>
      <c r="H142" s="7"/>
      <c r="I142" s="7"/>
      <c r="J142" s="7"/>
      <c r="K142" s="8"/>
      <c r="L142" s="8"/>
      <c r="M142" s="8"/>
      <c r="N142" s="8"/>
      <c r="O142" s="8"/>
      <c r="P142" s="8"/>
      <c r="Q142" s="8"/>
      <c r="R142" s="8"/>
      <c r="S142" s="8"/>
      <c r="T142" s="8"/>
      <c r="U142" s="8"/>
      <c r="V142" s="8"/>
      <c r="W142" s="8"/>
      <c r="X142" s="8"/>
      <c r="Y142" s="8"/>
      <c r="Z142" s="8"/>
      <c r="AA142" s="8"/>
      <c r="AB142" s="9" t="str">
        <f t="shared" si="24"/>
        <v/>
      </c>
      <c r="AC142" s="9" t="str">
        <f t="shared" si="25"/>
        <v>없음</v>
      </c>
      <c r="AD142" s="9" t="str">
        <f t="shared" si="26"/>
        <v/>
      </c>
      <c r="AE142" s="9" t="str">
        <f t="shared" si="27"/>
        <v>없음</v>
      </c>
      <c r="AF142" s="9" t="str">
        <f t="shared" si="28"/>
        <v/>
      </c>
      <c r="AG142" s="9" t="str">
        <f t="shared" si="29"/>
        <v>N</v>
      </c>
    </row>
    <row r="143" spans="1:33" ht="110" customHeight="1">
      <c r="A143" s="7" t="s">
        <v>780</v>
      </c>
      <c r="B143" s="7" t="s">
        <v>781</v>
      </c>
      <c r="C143" s="7" t="s">
        <v>782</v>
      </c>
      <c r="D143" s="7" t="s">
        <v>783</v>
      </c>
      <c r="E143" s="7" t="s">
        <v>784</v>
      </c>
      <c r="F143" s="7" t="s">
        <v>785</v>
      </c>
      <c r="G143" s="7" t="s">
        <v>786</v>
      </c>
      <c r="H143" s="7"/>
      <c r="I143" s="7"/>
      <c r="J143" s="7"/>
      <c r="K143" s="8"/>
      <c r="L143" s="8"/>
      <c r="M143" s="8"/>
      <c r="N143" s="8"/>
      <c r="O143" s="8"/>
      <c r="P143" s="8"/>
      <c r="Q143" s="8"/>
      <c r="R143" s="8"/>
      <c r="S143" s="8"/>
      <c r="T143" s="8"/>
      <c r="U143" s="8"/>
      <c r="V143" s="8"/>
      <c r="W143" s="8"/>
      <c r="X143" s="8"/>
      <c r="Y143" s="8"/>
      <c r="Z143" s="8"/>
      <c r="AA143" s="8"/>
      <c r="AB143" s="9" t="str">
        <f t="shared" si="24"/>
        <v/>
      </c>
      <c r="AC143" s="9" t="str">
        <f t="shared" si="25"/>
        <v>없음</v>
      </c>
      <c r="AD143" s="9" t="str">
        <f t="shared" si="26"/>
        <v/>
      </c>
      <c r="AE143" s="9" t="str">
        <f t="shared" si="27"/>
        <v>없음</v>
      </c>
      <c r="AF143" s="9" t="str">
        <f t="shared" si="28"/>
        <v/>
      </c>
      <c r="AG143" s="9" t="str">
        <f t="shared" si="29"/>
        <v>N</v>
      </c>
    </row>
    <row r="144" spans="1:33" ht="110" customHeight="1">
      <c r="A144" s="7" t="s">
        <v>787</v>
      </c>
      <c r="B144" s="7" t="s">
        <v>788</v>
      </c>
      <c r="C144" s="7" t="s">
        <v>789</v>
      </c>
      <c r="D144" s="7" t="s">
        <v>790</v>
      </c>
      <c r="E144" s="7" t="s">
        <v>791</v>
      </c>
      <c r="F144" s="7" t="s">
        <v>792</v>
      </c>
      <c r="G144" s="7" t="s">
        <v>793</v>
      </c>
      <c r="H144" s="7"/>
      <c r="I144" s="7"/>
      <c r="J144" s="7"/>
      <c r="K144" s="8"/>
      <c r="L144" s="8"/>
      <c r="M144" s="8"/>
      <c r="N144" s="8"/>
      <c r="O144" s="8"/>
      <c r="P144" s="8"/>
      <c r="Q144" s="8"/>
      <c r="R144" s="8"/>
      <c r="S144" s="8"/>
      <c r="T144" s="8"/>
      <c r="U144" s="8"/>
      <c r="V144" s="8"/>
      <c r="W144" s="8"/>
      <c r="X144" s="8"/>
      <c r="Y144" s="8"/>
      <c r="Z144" s="8"/>
      <c r="AA144" s="8"/>
      <c r="AB144" s="9" t="str">
        <f t="shared" si="24"/>
        <v/>
      </c>
      <c r="AC144" s="9" t="str">
        <f t="shared" si="25"/>
        <v>없음</v>
      </c>
      <c r="AD144" s="9" t="str">
        <f t="shared" si="26"/>
        <v/>
      </c>
      <c r="AE144" s="9" t="str">
        <f t="shared" si="27"/>
        <v>없음</v>
      </c>
      <c r="AF144" s="9" t="str">
        <f t="shared" si="28"/>
        <v/>
      </c>
      <c r="AG144" s="9" t="str">
        <f t="shared" si="29"/>
        <v>N</v>
      </c>
    </row>
    <row r="145" spans="1:33" ht="110" customHeight="1">
      <c r="A145" s="7" t="s">
        <v>794</v>
      </c>
      <c r="B145" s="7" t="s">
        <v>795</v>
      </c>
      <c r="C145" s="7" t="s">
        <v>796</v>
      </c>
      <c r="D145" s="7" t="s">
        <v>797</v>
      </c>
      <c r="E145" s="7" t="s">
        <v>798</v>
      </c>
      <c r="F145" s="7" t="s">
        <v>799</v>
      </c>
      <c r="G145" s="7"/>
      <c r="H145" s="7"/>
      <c r="I145" s="7"/>
      <c r="J145" s="7"/>
      <c r="K145" s="8"/>
      <c r="L145" s="8"/>
      <c r="M145" s="8"/>
      <c r="N145" s="8"/>
      <c r="O145" s="8"/>
      <c r="P145" s="8"/>
      <c r="Q145" s="8"/>
      <c r="R145" s="8"/>
      <c r="S145" s="8"/>
      <c r="T145" s="8"/>
      <c r="U145" s="8"/>
      <c r="V145" s="8"/>
      <c r="W145" s="8"/>
      <c r="X145" s="8"/>
      <c r="Y145" s="8"/>
      <c r="Z145" s="8"/>
      <c r="AA145" s="8"/>
      <c r="AB145" s="9" t="str">
        <f t="shared" si="24"/>
        <v/>
      </c>
      <c r="AC145" s="9" t="str">
        <f t="shared" si="25"/>
        <v>없음</v>
      </c>
      <c r="AD145" s="9" t="str">
        <f t="shared" si="26"/>
        <v/>
      </c>
      <c r="AE145" s="9" t="str">
        <f t="shared" si="27"/>
        <v>없음</v>
      </c>
      <c r="AF145" s="9" t="str">
        <f t="shared" si="28"/>
        <v/>
      </c>
      <c r="AG145" s="9" t="str">
        <f t="shared" si="29"/>
        <v>N</v>
      </c>
    </row>
    <row r="146" spans="1:33" ht="110" customHeight="1">
      <c r="A146" s="7" t="s">
        <v>800</v>
      </c>
      <c r="B146" s="7" t="s">
        <v>801</v>
      </c>
      <c r="C146" s="7" t="s">
        <v>802</v>
      </c>
      <c r="D146" s="7" t="s">
        <v>803</v>
      </c>
      <c r="E146" s="7" t="s">
        <v>804</v>
      </c>
      <c r="F146" s="7" t="s">
        <v>805</v>
      </c>
      <c r="G146" s="7"/>
      <c r="H146" s="7"/>
      <c r="I146" s="7"/>
      <c r="J146" s="7"/>
      <c r="K146" s="8"/>
      <c r="L146" s="8"/>
      <c r="M146" s="8"/>
      <c r="N146" s="8"/>
      <c r="O146" s="8"/>
      <c r="P146" s="8"/>
      <c r="Q146" s="8"/>
      <c r="R146" s="8"/>
      <c r="S146" s="8"/>
      <c r="T146" s="8"/>
      <c r="U146" s="8"/>
      <c r="V146" s="8"/>
      <c r="W146" s="8"/>
      <c r="X146" s="8"/>
      <c r="Y146" s="8"/>
      <c r="Z146" s="8"/>
      <c r="AA146" s="8"/>
      <c r="AB146" s="9" t="str">
        <f t="shared" si="24"/>
        <v/>
      </c>
      <c r="AC146" s="9" t="str">
        <f t="shared" si="25"/>
        <v>없음</v>
      </c>
      <c r="AD146" s="9" t="str">
        <f t="shared" si="26"/>
        <v/>
      </c>
      <c r="AE146" s="9" t="str">
        <f t="shared" si="27"/>
        <v>없음</v>
      </c>
      <c r="AF146" s="9" t="str">
        <f t="shared" si="28"/>
        <v/>
      </c>
      <c r="AG146" s="9" t="str">
        <f t="shared" si="29"/>
        <v>N</v>
      </c>
    </row>
  </sheetData>
  <autoFilter ref="A1:AG146" xr:uid="{00000000-0009-0000-0000-000001000000}"/>
  <conditionalFormatting sqref="U2:U146">
    <cfRule type="expression" dxfId="0" priority="1">
      <formula>AND(U2&lt;&gt;"",U2&lt;&gt;"없음",COUNTIF(P2:T2,"Y")=0)</formula>
    </cfRule>
  </conditionalFormatting>
  <dataValidations count="5">
    <dataValidation type="list" allowBlank="1" showErrorMessage="1" errorTitle="값 확인" error="Y만 넣거나 비워 두세요" sqref="K2:K146 L2:L146 M2:M146 N2:N146 O2:O146 P2:P146 Q2:Q146 R2:R146 S2:S146 T2:T146" xr:uid="{00000000-0002-0000-0100-000000000000}">
      <formula1>"Y"</formula1>
    </dataValidation>
    <dataValidation type="list" allowBlank="1" showErrorMessage="1" errorTitle="값 확인" error="본문·별표·둘다·없음 가운데 하나" sqref="U2:U146" xr:uid="{00000000-0002-0000-0100-000001000000}">
      <formula1>"본문,별표,둘다,없음"</formula1>
    </dataValidation>
    <dataValidation type="list" allowBlank="1" showErrorMessage="1" errorTitle="값 확인" error="Y 또는 N" sqref="W2:W146" xr:uid="{00000000-0002-0000-0100-000002000000}">
      <formula1>"Y,N"</formula1>
    </dataValidation>
    <dataValidation type="list" allowBlank="1" showErrorMessage="1" errorTitle="값 확인" error="높음·중간·낮음 가운데 하나" sqref="Z2:Z146" xr:uid="{00000000-0002-0000-0100-000003000000}">
      <formula1>"높음,중간,낮음"</formula1>
    </dataValidation>
    <dataValidation type="whole" allowBlank="1" showErrorMessage="1" errorTitle="값 확인" error="0 이상의 정수" sqref="V2:V146" xr:uid="{00000000-0002-0000-0100-000004000000}">
      <formula1>0</formula1>
      <formula2>500</formula2>
    </dataValidation>
  </dataValidation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8"/>
  <sheetViews>
    <sheetView workbookViewId="0"/>
  </sheetViews>
  <sheetFormatPr defaultRowHeight="14.5"/>
  <cols>
    <col min="1" max="1" width="150" customWidth="1"/>
  </cols>
  <sheetData>
    <row r="1" spans="1:1" ht="16">
      <c r="A1" s="3" t="s">
        <v>806</v>
      </c>
    </row>
    <row r="2" spans="1:1" ht="16">
      <c r="A2" s="2"/>
    </row>
    <row r="3" spans="1:1" ht="16">
      <c r="A3" s="2" t="s">
        <v>807</v>
      </c>
    </row>
    <row r="4" spans="1:1" ht="16">
      <c r="A4" s="2"/>
    </row>
    <row r="5" spans="1:1" ht="16">
      <c r="A5" s="3" t="s">
        <v>808</v>
      </c>
    </row>
    <row r="6" spans="1:1" ht="16">
      <c r="A6" s="2"/>
    </row>
    <row r="7" spans="1:1" ht="16">
      <c r="A7" s="2" t="s">
        <v>809</v>
      </c>
    </row>
    <row r="8" spans="1:1" ht="16">
      <c r="A8" s="2"/>
    </row>
    <row r="9" spans="1:1" ht="16">
      <c r="A9" s="2" t="s">
        <v>810</v>
      </c>
    </row>
    <row r="10" spans="1:1" ht="16">
      <c r="A10" s="2" t="s">
        <v>811</v>
      </c>
    </row>
    <row r="11" spans="1:1" ht="16">
      <c r="A11" s="2" t="s">
        <v>812</v>
      </c>
    </row>
    <row r="12" spans="1:1" ht="16">
      <c r="A12" s="2" t="s">
        <v>813</v>
      </c>
    </row>
    <row r="13" spans="1:1" ht="16">
      <c r="A13" s="2"/>
    </row>
    <row r="14" spans="1:1" ht="16">
      <c r="A14" s="3" t="s">
        <v>814</v>
      </c>
    </row>
    <row r="15" spans="1:1" ht="16">
      <c r="A15" s="2"/>
    </row>
    <row r="16" spans="1:1" ht="16">
      <c r="A16" s="2" t="s">
        <v>815</v>
      </c>
    </row>
    <row r="17" spans="1:1" ht="16">
      <c r="A17" s="2" t="s">
        <v>816</v>
      </c>
    </row>
    <row r="18" spans="1:1" ht="16">
      <c r="A18" s="2" t="s">
        <v>817</v>
      </c>
    </row>
    <row r="19" spans="1:1" ht="16">
      <c r="A19" s="2" t="s">
        <v>818</v>
      </c>
    </row>
    <row r="20" spans="1:1" ht="16">
      <c r="A20" s="2" t="s">
        <v>819</v>
      </c>
    </row>
    <row r="21" spans="1:1" ht="16">
      <c r="A21" s="2" t="s">
        <v>820</v>
      </c>
    </row>
    <row r="22" spans="1:1" ht="16">
      <c r="A22" s="2" t="s">
        <v>821</v>
      </c>
    </row>
    <row r="23" spans="1:1" ht="16">
      <c r="A23" s="2"/>
    </row>
    <row r="24" spans="1:1" ht="16">
      <c r="A24" s="2" t="s">
        <v>822</v>
      </c>
    </row>
    <row r="25" spans="1:1" ht="16">
      <c r="A25" s="2"/>
    </row>
    <row r="26" spans="1:1" ht="16">
      <c r="A26" s="2" t="s">
        <v>823</v>
      </c>
    </row>
    <row r="27" spans="1:1" ht="16">
      <c r="A27" s="2"/>
    </row>
    <row r="28" spans="1:1" ht="16">
      <c r="A28" s="2" t="s">
        <v>824</v>
      </c>
    </row>
    <row r="29" spans="1:1" ht="16">
      <c r="A29" s="2"/>
    </row>
    <row r="30" spans="1:1" ht="16">
      <c r="A30" s="2" t="s">
        <v>825</v>
      </c>
    </row>
    <row r="31" spans="1:1" ht="16">
      <c r="A31" s="2" t="s">
        <v>826</v>
      </c>
    </row>
    <row r="32" spans="1:1" ht="16">
      <c r="A32" s="2" t="s">
        <v>827</v>
      </c>
    </row>
    <row r="33" spans="1:1" ht="16">
      <c r="A33" s="2"/>
    </row>
    <row r="34" spans="1:1" ht="16">
      <c r="A34" s="3" t="s">
        <v>828</v>
      </c>
    </row>
    <row r="35" spans="1:1" ht="16">
      <c r="A35" s="2"/>
    </row>
    <row r="36" spans="1:1" ht="16">
      <c r="A36" s="2" t="s">
        <v>829</v>
      </c>
    </row>
    <row r="37" spans="1:1" ht="16">
      <c r="A37" s="2" t="s">
        <v>830</v>
      </c>
    </row>
    <row r="38" spans="1:1" ht="16">
      <c r="A38" s="2" t="s">
        <v>831</v>
      </c>
    </row>
    <row r="39" spans="1:1" ht="16">
      <c r="A39" s="2" t="s">
        <v>832</v>
      </c>
    </row>
    <row r="40" spans="1:1" ht="16">
      <c r="A40" s="2" t="s">
        <v>833</v>
      </c>
    </row>
    <row r="41" spans="1:1" ht="16">
      <c r="A41" s="2" t="s">
        <v>834</v>
      </c>
    </row>
    <row r="42" spans="1:1" ht="16">
      <c r="A42" s="2" t="s">
        <v>835</v>
      </c>
    </row>
    <row r="43" spans="1:1" ht="16">
      <c r="A43" s="2" t="s">
        <v>836</v>
      </c>
    </row>
    <row r="44" spans="1:1" ht="16">
      <c r="A44" s="2" t="s">
        <v>837</v>
      </c>
    </row>
    <row r="45" spans="1:1" ht="16">
      <c r="A45" s="2" t="s">
        <v>838</v>
      </c>
    </row>
    <row r="46" spans="1:1" ht="16">
      <c r="A46" s="2" t="s">
        <v>839</v>
      </c>
    </row>
    <row r="47" spans="1:1" ht="16">
      <c r="A47" s="2" t="s">
        <v>840</v>
      </c>
    </row>
    <row r="48" spans="1:1" ht="16">
      <c r="A48" s="2" t="s">
        <v>841</v>
      </c>
    </row>
    <row r="49" spans="1:1" ht="16">
      <c r="A49" s="2" t="s">
        <v>842</v>
      </c>
    </row>
    <row r="50" spans="1:1" ht="16">
      <c r="A50" s="2" t="s">
        <v>843</v>
      </c>
    </row>
    <row r="51" spans="1:1" ht="16">
      <c r="A51" s="2" t="s">
        <v>844</v>
      </c>
    </row>
    <row r="52" spans="1:1" ht="16">
      <c r="A52" s="2"/>
    </row>
    <row r="53" spans="1:1" ht="16">
      <c r="A53" s="3" t="s">
        <v>845</v>
      </c>
    </row>
    <row r="54" spans="1:1" ht="16">
      <c r="A54" s="2"/>
    </row>
    <row r="55" spans="1:1" ht="16">
      <c r="A55" s="2" t="s">
        <v>846</v>
      </c>
    </row>
    <row r="56" spans="1:1" ht="16">
      <c r="A56" s="2"/>
    </row>
    <row r="57" spans="1:1" ht="16">
      <c r="A57" s="2" t="s">
        <v>847</v>
      </c>
    </row>
    <row r="58" spans="1:1" ht="16">
      <c r="A58" s="2" t="s">
        <v>848</v>
      </c>
    </row>
    <row r="59" spans="1:1" ht="16">
      <c r="A59" s="2" t="s">
        <v>849</v>
      </c>
    </row>
    <row r="60" spans="1:1" ht="16">
      <c r="A60" s="2" t="s">
        <v>850</v>
      </c>
    </row>
    <row r="61" spans="1:1" ht="16">
      <c r="A61" s="2" t="s">
        <v>851</v>
      </c>
    </row>
    <row r="62" spans="1:1" ht="16">
      <c r="A62" s="2" t="s">
        <v>852</v>
      </c>
    </row>
    <row r="63" spans="1:1" ht="16">
      <c r="A63" s="2" t="s">
        <v>853</v>
      </c>
    </row>
    <row r="64" spans="1:1" ht="32">
      <c r="A64" s="2" t="s">
        <v>854</v>
      </c>
    </row>
    <row r="65" spans="1:1" ht="32">
      <c r="A65" s="2" t="s">
        <v>855</v>
      </c>
    </row>
    <row r="66" spans="1:1" ht="16">
      <c r="A66" s="2"/>
    </row>
    <row r="67" spans="1:1" ht="16">
      <c r="A67" s="3" t="s">
        <v>856</v>
      </c>
    </row>
    <row r="68" spans="1:1" ht="16">
      <c r="A68" s="2"/>
    </row>
    <row r="69" spans="1:1" ht="32">
      <c r="A69" s="2" t="s">
        <v>857</v>
      </c>
    </row>
    <row r="70" spans="1:1" ht="16">
      <c r="A70" s="2"/>
    </row>
    <row r="71" spans="1:1" ht="32">
      <c r="A71" s="2" t="s">
        <v>858</v>
      </c>
    </row>
    <row r="72" spans="1:1" ht="16">
      <c r="A72" s="2" t="s">
        <v>859</v>
      </c>
    </row>
    <row r="73" spans="1:1" ht="32">
      <c r="A73" s="2" t="s">
        <v>860</v>
      </c>
    </row>
    <row r="74" spans="1:1" ht="32">
      <c r="A74" s="2" t="s">
        <v>861</v>
      </c>
    </row>
    <row r="75" spans="1:1" ht="16">
      <c r="A75" s="2" t="s">
        <v>862</v>
      </c>
    </row>
    <row r="76" spans="1:1" ht="32">
      <c r="A76" s="2" t="s">
        <v>863</v>
      </c>
    </row>
    <row r="77" spans="1:1" ht="16">
      <c r="A77" s="2"/>
    </row>
    <row r="78" spans="1:1" ht="32">
      <c r="A78" s="2" t="s">
        <v>864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안내</vt:lpstr>
      <vt:lpstr>코딩</vt:lpstr>
      <vt:lpstr>코드북</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최필선</cp:lastModifiedBy>
  <dcterms:created xsi:type="dcterms:W3CDTF">2026-09-26T17:39:18Z</dcterms:created>
  <dcterms:modified xsi:type="dcterms:W3CDTF">2026-09-26T17:39:52Z</dcterms:modified>
</cp:coreProperties>
</file>